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128904d5817413fa/Documents/"/>
    </mc:Choice>
  </mc:AlternateContent>
  <xr:revisionPtr revIDLastSave="4" documentId="8_{5B8C6B66-4290-418E-B371-ECC8B545BA19}" xr6:coauthVersionLast="47" xr6:coauthVersionMax="47" xr10:uidLastSave="{0556AE45-9646-4CDD-B7CB-54C892FA1895}"/>
  <bookViews>
    <workbookView xWindow="-110" yWindow="-110" windowWidth="19420" windowHeight="10300" activeTab="1" xr2:uid="{AFED4855-483F-46EB-8003-62266CA6B591}"/>
  </bookViews>
  <sheets>
    <sheet name="pivot report" sheetId="1" r:id="rId1"/>
    <sheet name="Dashborad" sheetId="2" r:id="rId2"/>
    <sheet name="no of patient daily visit" sheetId="3" r:id="rId3"/>
    <sheet name="avg waittime" sheetId="4" r:id="rId4"/>
    <sheet name="satisfaction score" sheetId="6" r:id="rId5"/>
  </sheets>
  <definedNames>
    <definedName name="Slicer_Date__Month">#N/A</definedName>
    <definedName name="Slicer_Date__Year">#N/A</definedName>
  </definedNames>
  <calcPr calcId="191029"/>
  <pivotCaches>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def2651-48c8-47aa-8d12-f1a81a27762e" name="Hospital Emergency Room Data" connection="Query - Hospital Emergency Room Data"/>
          <x15:modelTable id="calender_table_5058c5a7-24d4-4e36-aefc-4b281d93128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6" i="1" l="1"/>
  <c r="B56" i="1"/>
  <c r="C56" i="1"/>
  <c r="B55" i="1"/>
  <c r="C55" i="1"/>
  <c r="A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0226AD-0E45-4798-8DCB-95247753D98B}" name="Query - calender_table" description="Connection to the 'calender_table' query in the workbook." type="100" refreshedVersion="8" minRefreshableVersion="5">
    <extLst>
      <ext xmlns:x15="http://schemas.microsoft.com/office/spreadsheetml/2010/11/main" uri="{DE250136-89BD-433C-8126-D09CA5730AF9}">
        <x15:connection id="76f05ebb-5332-405f-a119-5ae31e9c223c"/>
      </ext>
    </extLst>
  </connection>
  <connection id="2" xr16:uid="{9B0EAEB0-B0EC-4941-85E3-B08A473406E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edee113-a7d3-4821-8eea-c7a4953cd9a3"/>
      </ext>
    </extLst>
  </connection>
  <connection id="3" xr16:uid="{1DA3D0F1-1BE5-4D1E-92DD-F177CE253C2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<sst xmlns="http://schemas.openxmlformats.org/spreadsheetml/2006/main" count="152" uniqueCount="72">
  <si>
    <t>Count of Patient Id</t>
  </si>
  <si>
    <t>Distinct Count of Patient Id</t>
  </si>
  <si>
    <t>No Of Patient</t>
  </si>
  <si>
    <t>Average of Patient Waittime</t>
  </si>
  <si>
    <t>Average of Patient Satisfaction Score</t>
  </si>
  <si>
    <t>Grand Total</t>
  </si>
  <si>
    <t>2023</t>
  </si>
  <si>
    <t>Row Labels</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</si>
  <si>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</si>
  <si>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</si>
  <si>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</si>
  <si>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</si>
  <si>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</si>
  <si>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</si>
  <si>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</si>
  <si>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</si>
  <si>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</si>
  <si>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</si>
  <si>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</si>
  <si>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</si>
  <si>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</si>
  <si>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</si>
  <si>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</si>
  <si>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</si>
  <si>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</si>
  <si>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</si>
  <si>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</si>
  <si>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</si>
  <si>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</si>
  <si>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</si>
  <si>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</si>
  <si>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</si>
  <si>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</si>
  <si>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</si>
  <si>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</si>
  <si>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</si>
  <si>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</si>
  <si>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</si>
  <si>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daily trends</t>
  </si>
  <si>
    <t>no of patient</t>
  </si>
  <si>
    <t>avg waittime</t>
  </si>
  <si>
    <t>satisfaction daily trends</t>
  </si>
  <si>
    <t>Admitted</t>
  </si>
  <si>
    <t>Not Admitted</t>
  </si>
  <si>
    <t>Count of Patient Admission Flag</t>
  </si>
  <si>
    <t>Count of Patient Admission Flag2</t>
  </si>
  <si>
    <t>%Status</t>
  </si>
  <si>
    <t>Admissiom Satus</t>
  </si>
  <si>
    <t>Patient</t>
  </si>
  <si>
    <t>Count of Age Group</t>
  </si>
  <si>
    <t>0-9</t>
  </si>
  <si>
    <t>10-19</t>
  </si>
  <si>
    <t>20-29</t>
  </si>
  <si>
    <t>30-39</t>
  </si>
  <si>
    <t>40-49</t>
  </si>
  <si>
    <t>50-59</t>
  </si>
  <si>
    <t>60-69</t>
  </si>
  <si>
    <t>70-79</t>
  </si>
  <si>
    <t>age group</t>
  </si>
  <si>
    <t>Delay</t>
  </si>
  <si>
    <t>On Time</t>
  </si>
  <si>
    <t>Female</t>
  </si>
  <si>
    <t>Male</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</si>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</sst>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3" tint="0.49998474074526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0" fillId="3" borderId="0" xfId="0" applyFill="1"/>
    <xf numFmtId="0" fontId="0" fillId="3" borderId="0" xfId="0" applyFill="1" applyAlignment="1">
      <alignment horizontal="center"/>
    </xf>
    <xf numFmtId="0" fontId="0" fillId="4" borderId="0" xfId="0" applyFill="1" applyAlignment="1">
      <alignment horizontal="left"/>
    </xf>
    <xf numFmtId="10" fontId="0" fillId="4" borderId="0" xfId="0" applyNumberFormat="1" applyFill="1" applyAlignment="1">
      <alignment horizontal="left"/>
    </xf>
    <xf numFmtId="0" fontId="0" fillId="4" borderId="0" xfId="0" applyFill="1"/>
  </cellXfs>
  <cellStyles count="1">
    <cellStyle name="Normal" xfId="0" builtinId="0"/>
  </cellStyles>
  <dxfs count="6">
    <dxf>
      <numFmt numFmtId="2" formatCode="0.00"/>
    </dxf>
    <dxf>
      <numFmt numFmtId="2" formatCode="0.00"/>
    </dxf>
    <dxf>
      <numFmt numFmtId="2" formatCode="0.00"/>
    </dxf>
    <dxf>
      <numFmt numFmtId="2" formatCode="0.00"/>
    </dxf>
    <dxf>
      <numFmt numFmtId="2" formatCode="0.00"/>
    </dxf>
    <dxf>
      <font>
        <b val="0"/>
        <i val="0"/>
        <strike val="0"/>
        <sz val="12"/>
        <name val="Aptos Narrow"/>
        <family val="2"/>
        <scheme val="none"/>
      </font>
      <fill>
        <patternFill>
          <bgColor theme="5" tint="0.59996337778862885"/>
        </patternFill>
      </fill>
      <border diagonalUp="0" diagonalDown="0">
        <left/>
        <right/>
        <top/>
        <bottom/>
        <vertical/>
        <horizontal/>
      </border>
    </dxf>
  </dxfs>
  <tableStyles count="1" defaultTableStyle="TableStyleMedium2" defaultPivotStyle="PivotStyleLight16">
    <tableStyle name="Slicer Style 1" pivot="0" table="0" count="9" xr9:uid="{9CC37608-2D05-410D-8C18-65F4E49D5855}">
      <tableStyleElement type="wholeTable" dxfId="5"/>
    </tableStyle>
  </tableStyles>
  <extLst>
    <ext xmlns:x14="http://schemas.microsoft.com/office/spreadsheetml/2009/9/main" uri="{46F421CA-312F-682f-3DD2-61675219B42D}">
      <x14:dxfs count="8">
        <dxf>
          <fill>
            <patternFill>
              <bgColor theme="9" tint="0.39994506668294322"/>
            </patternFill>
          </fill>
          <border>
            <left style="thin">
              <color auto="1"/>
            </left>
            <right style="thin">
              <color auto="1"/>
            </right>
            <top style="thin">
              <color auto="1"/>
            </top>
            <bottom style="thin">
              <color auto="1"/>
            </bottom>
          </border>
        </dxf>
        <dxf>
          <border diagonalUp="1">
            <left style="thin">
              <color auto="1"/>
            </left>
            <right style="thin">
              <color auto="1"/>
            </right>
            <top style="thin">
              <color auto="1"/>
            </top>
            <bottom style="thin">
              <color auto="1"/>
            </bottom>
            <diagonal style="thin">
              <color auto="1"/>
            </diagonal>
          </border>
        </dxf>
        <dxf>
          <fill>
            <patternFill>
              <bgColor theme="4" tint="0.59996337778862885"/>
            </patternFill>
          </fill>
          <border>
            <left style="thin">
              <color auto="1"/>
            </left>
            <right style="thin">
              <color auto="1"/>
            </right>
            <top style="thin">
              <color auto="1"/>
            </top>
            <bottom style="thin">
              <color auto="1"/>
            </bottom>
          </border>
        </dxf>
        <dxf>
          <fill>
            <patternFill>
              <bgColor theme="3" tint="0.749961851863155"/>
            </patternFill>
          </fill>
          <border>
            <left style="thin">
              <color auto="1"/>
            </left>
            <right style="thin">
              <color auto="1"/>
            </right>
            <top style="thin">
              <color auto="1"/>
            </top>
            <bottom style="thin">
              <color auto="1"/>
            </bottom>
          </border>
        </dxf>
        <dxf>
          <fill>
            <patternFill>
              <bgColor theme="0" tint="-0.24994659260841701"/>
            </patternFill>
          </fill>
          <border>
            <left style="thin">
              <color auto="1"/>
            </left>
            <right style="thin">
              <color auto="1"/>
            </right>
            <top style="thin">
              <color auto="1"/>
            </top>
            <bottom style="thin">
              <color auto="1"/>
            </bottom>
          </border>
        </dxf>
        <dxf>
          <fill>
            <patternFill>
              <bgColor theme="4" tint="0.39994506668294322"/>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EBA5F3-AFC8-4D02-B64F-00ECBCA1CE1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C30291-AD3F-40DB-85CD-5139A87419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C30291-AD3F-40DB-85CD-5139A87419B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EBA5F3-AFC8-4D02-B64F-00ECBCA1CE1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a:noFill/>
          </a:ln>
          <a:effectLst/>
        </c:spPr>
        <c:dLbl>
          <c:idx val="0"/>
          <c:tx>
            <c:rich>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fld id="{394520B1-7241-4DE5-A3CB-03CE0A7435A7}" type="CELLRANGE">
                  <a:rPr lang="en-US" sz="800"/>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0"/>
        <c:spPr>
          <a:solidFill>
            <a:schemeClr val="accent1"/>
          </a:solidFill>
          <a:ln>
            <a:noFill/>
          </a:ln>
          <a:effectLst/>
        </c:spPr>
        <c:dLbl>
          <c:idx val="0"/>
          <c:tx>
            <c:rich>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fld id="{E859E87E-739D-4005-B217-6668D17E9324}" type="CELLRANGE">
                  <a:rPr lang="en-US" sz="800"/>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8.1529808773903256E-2"/>
          <c:w val="0.93659797310025239"/>
          <c:h val="0.84204519889559259"/>
        </c:manualLayout>
      </c:layout>
      <c:barChart>
        <c:barDir val="bar"/>
        <c:grouping val="clustered"/>
        <c:varyColors val="0"/>
        <c:ser>
          <c:idx val="0"/>
          <c:order val="0"/>
          <c:tx>
            <c:strRef>
              <c:f>'pivot report'!$E$5:$E$6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636-4B08-A801-519B52361D2A}"/>
              </c:ext>
            </c:extLst>
          </c:dPt>
          <c:dPt>
            <c:idx val="1"/>
            <c:invertIfNegative val="0"/>
            <c:bubble3D val="0"/>
            <c:extLst>
              <c:ext xmlns:c16="http://schemas.microsoft.com/office/drawing/2014/chart" uri="{C3380CC4-5D6E-409C-BE32-E72D297353CC}">
                <c16:uniqueId val="{00000001-C636-4B08-A801-519B52361D2A}"/>
              </c:ext>
            </c:extLst>
          </c:dPt>
          <c:dLbls>
            <c:dLbl>
              <c:idx val="0"/>
              <c:tx>
                <c:rich>
                  <a:bodyPr/>
                  <a:lstStyle/>
                  <a:p>
                    <a:fld id="{394520B1-7241-4DE5-A3CB-03CE0A7435A7}"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636-4B08-A801-519B52361D2A}"/>
                </c:ext>
              </c:extLst>
            </c:dLbl>
            <c:dLbl>
              <c:idx val="1"/>
              <c:tx>
                <c:rich>
                  <a:bodyPr/>
                  <a:lstStyle/>
                  <a:p>
                    <a:fld id="{E859E87E-739D-4005-B217-6668D17E9324}"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636-4B08-A801-519B52361D2A}"/>
                </c:ext>
              </c:extLst>
            </c:dLbl>
            <c:spPr>
              <a:noFill/>
              <a:ln>
                <a:noFill/>
              </a:ln>
              <a:effectLst/>
            </c:spPr>
            <c:txPr>
              <a:bodyPr rot="0" spcFirstLastPara="1" vertOverflow="ellipsis" vert="horz" wrap="non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report'!$E$5:$E$6</c:f>
              <c:strCache>
                <c:ptCount val="2"/>
                <c:pt idx="0">
                  <c:v>Admitted</c:v>
                </c:pt>
                <c:pt idx="1">
                  <c:v>Not Admitted</c:v>
                </c:pt>
              </c:strCache>
            </c:strRef>
          </c:cat>
          <c:val>
            <c:numRef>
              <c:f>'pivot report'!$E$5:$E$6</c:f>
              <c:numCache>
                <c:formatCode>General</c:formatCode>
                <c:ptCount val="2"/>
                <c:pt idx="0">
                  <c:v>252</c:v>
                </c:pt>
                <c:pt idx="1">
                  <c:v>254</c:v>
                </c:pt>
              </c:numCache>
            </c:numRef>
          </c:val>
          <c:extLst>
            <c:ext xmlns:c15="http://schemas.microsoft.com/office/drawing/2012/chart" uri="{02D57815-91ED-43cb-92C2-25804820EDAC}">
              <c15:datalabelsRange>
                <c15:f>'pivot report'!$E$5:$E$6</c15:f>
                <c15:dlblRangeCache>
                  <c:ptCount val="2"/>
                  <c:pt idx="0">
                    <c:v>49.80%</c:v>
                  </c:pt>
                  <c:pt idx="1">
                    <c:v>50.20%</c:v>
                  </c:pt>
                </c15:dlblRangeCache>
              </c15:datalabelsRange>
            </c:ext>
            <c:ext xmlns:c16="http://schemas.microsoft.com/office/drawing/2014/chart" uri="{C3380CC4-5D6E-409C-BE32-E72D297353CC}">
              <c16:uniqueId val="{00000002-C636-4B08-A801-519B52361D2A}"/>
            </c:ext>
          </c:extLst>
        </c:ser>
        <c:ser>
          <c:idx val="1"/>
          <c:order val="1"/>
          <c:tx>
            <c:strRef>
              <c:f>'pivot report'!$E$5:$E$6</c:f>
              <c:strCache>
                <c:ptCount val="1"/>
                <c:pt idx="0">
                  <c:v>Count of Patient Admission Flag2</c:v>
                </c:pt>
              </c:strCache>
            </c:strRef>
          </c:tx>
          <c:spPr>
            <a:solidFill>
              <a:schemeClr val="accent2"/>
            </a:solidFill>
            <a:ln>
              <a:noFill/>
            </a:ln>
            <a:effectLst/>
          </c:spPr>
          <c:invertIfNegative val="0"/>
          <c:cat>
            <c:strRef>
              <c:f>'pivot report'!$E$5:$E$6</c:f>
              <c:strCache>
                <c:ptCount val="2"/>
                <c:pt idx="0">
                  <c:v>Admitted</c:v>
                </c:pt>
                <c:pt idx="1">
                  <c:v>Not Admitted</c:v>
                </c:pt>
              </c:strCache>
            </c:strRef>
          </c:cat>
          <c:val>
            <c:numRef>
              <c:f>'pivot report'!$E$5:$E$6</c:f>
              <c:numCache>
                <c:formatCode>0.00%</c:formatCode>
                <c:ptCount val="2"/>
                <c:pt idx="0">
                  <c:v>0.49802371541501977</c:v>
                </c:pt>
                <c:pt idx="1">
                  <c:v>0.50197628458498023</c:v>
                </c:pt>
              </c:numCache>
            </c:numRef>
          </c:val>
          <c:extLst>
            <c:ext xmlns:c16="http://schemas.microsoft.com/office/drawing/2014/chart" uri="{C3380CC4-5D6E-409C-BE32-E72D297353CC}">
              <c16:uniqueId val="{00000003-C636-4B08-A801-519B52361D2A}"/>
            </c:ext>
          </c:extLst>
        </c:ser>
        <c:dLbls>
          <c:showLegendKey val="0"/>
          <c:showVal val="0"/>
          <c:showCatName val="0"/>
          <c:showSerName val="0"/>
          <c:showPercent val="0"/>
          <c:showBubbleSize val="0"/>
        </c:dLbls>
        <c:gapWidth val="0"/>
        <c:axId val="2009406640"/>
        <c:axId val="2009412880"/>
      </c:barChart>
      <c:catAx>
        <c:axId val="2009406640"/>
        <c:scaling>
          <c:orientation val="minMax"/>
        </c:scaling>
        <c:delete val="1"/>
        <c:axPos val="l"/>
        <c:numFmt formatCode="General" sourceLinked="1"/>
        <c:majorTickMark val="none"/>
        <c:minorTickMark val="none"/>
        <c:tickLblPos val="nextTo"/>
        <c:crossAx val="2009412880"/>
        <c:crosses val="autoZero"/>
        <c:auto val="1"/>
        <c:lblAlgn val="ctr"/>
        <c:lblOffset val="100"/>
        <c:noMultiLvlLbl val="0"/>
      </c:catAx>
      <c:valAx>
        <c:axId val="2009412880"/>
        <c:scaling>
          <c:orientation val="minMax"/>
        </c:scaling>
        <c:delete val="1"/>
        <c:axPos val="b"/>
        <c:numFmt formatCode="General" sourceLinked="1"/>
        <c:majorTickMark val="none"/>
        <c:minorTickMark val="none"/>
        <c:tickLblPos val="nextTo"/>
        <c:crossAx val="200940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7887387654451111E-2"/>
          <c:w val="1"/>
          <c:h val="0.97122987771270719"/>
        </c:manualLayout>
      </c:layout>
      <c:areaChart>
        <c:grouping val="standard"/>
        <c:varyColors val="0"/>
        <c:ser>
          <c:idx val="0"/>
          <c:order val="0"/>
          <c:tx>
            <c:strRef>
              <c:f>'pivot report'!$E$10</c:f>
              <c:strCache>
                <c:ptCount val="1"/>
                <c:pt idx="0">
                  <c:v>Total</c:v>
                </c:pt>
              </c:strCache>
            </c:strRef>
          </c:tx>
          <c:spPr>
            <a:solidFill>
              <a:schemeClr val="accent1"/>
            </a:solidFill>
            <a:ln>
              <a:noFill/>
            </a:ln>
            <a:effectLst/>
          </c:spPr>
          <c:cat>
            <c:strRef>
              <c:f>'pivot report'!$D$11:$D$41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report'!$E$11:$E$41</c:f>
              <c:numCache>
                <c:formatCode>0.00</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048F-4C87-B782-8AB8CB40FE7B}"/>
            </c:ext>
          </c:extLst>
        </c:ser>
        <c:dLbls>
          <c:showLegendKey val="0"/>
          <c:showVal val="0"/>
          <c:showCatName val="0"/>
          <c:showSerName val="0"/>
          <c:showPercent val="0"/>
          <c:showBubbleSize val="0"/>
        </c:dLbls>
        <c:axId val="2000308336"/>
        <c:axId val="2000308816"/>
      </c:areaChart>
      <c:catAx>
        <c:axId val="2000308336"/>
        <c:scaling>
          <c:orientation val="minMax"/>
        </c:scaling>
        <c:delete val="1"/>
        <c:axPos val="b"/>
        <c:numFmt formatCode="General" sourceLinked="1"/>
        <c:majorTickMark val="out"/>
        <c:minorTickMark val="none"/>
        <c:tickLblPos val="nextTo"/>
        <c:crossAx val="2000308816"/>
        <c:crosses val="autoZero"/>
        <c:auto val="1"/>
        <c:lblAlgn val="ctr"/>
        <c:lblOffset val="100"/>
        <c:noMultiLvlLbl val="0"/>
      </c:catAx>
      <c:valAx>
        <c:axId val="2000308816"/>
        <c:scaling>
          <c:orientation val="minMax"/>
        </c:scaling>
        <c:delete val="1"/>
        <c:axPos val="l"/>
        <c:numFmt formatCode="0.00" sourceLinked="1"/>
        <c:majorTickMark val="none"/>
        <c:minorTickMark val="none"/>
        <c:tickLblPos val="nextTo"/>
        <c:crossAx val="2000308336"/>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3441787370798E-2"/>
          <c:y val="0.10666629389224645"/>
          <c:w val="0.97306558212629191"/>
          <c:h val="0.69777777777777772"/>
        </c:manualLayout>
      </c:layout>
      <c:areaChart>
        <c:grouping val="standard"/>
        <c:varyColors val="0"/>
        <c:ser>
          <c:idx val="0"/>
          <c:order val="0"/>
          <c:tx>
            <c:strRef>
              <c:f>'pivot report'!$H$10</c:f>
              <c:strCache>
                <c:ptCount val="1"/>
                <c:pt idx="0">
                  <c:v>Total</c:v>
                </c:pt>
              </c:strCache>
            </c:strRef>
          </c:tx>
          <c:spPr>
            <a:solidFill>
              <a:schemeClr val="accent1"/>
            </a:solidFill>
            <a:ln>
              <a:noFill/>
            </a:ln>
            <a:effectLst/>
          </c:spPr>
          <c:cat>
            <c:strRef>
              <c:f>'pivot report'!$G$11:$G$41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report'!$H$11:$H$41</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0-DFEB-424F-AA8C-F4679C3A6872}"/>
            </c:ext>
          </c:extLst>
        </c:ser>
        <c:dLbls>
          <c:showLegendKey val="0"/>
          <c:showVal val="0"/>
          <c:showCatName val="0"/>
          <c:showSerName val="0"/>
          <c:showPercent val="0"/>
          <c:showBubbleSize val="0"/>
        </c:dLbls>
        <c:axId val="255331968"/>
        <c:axId val="255333408"/>
      </c:areaChart>
      <c:catAx>
        <c:axId val="255331968"/>
        <c:scaling>
          <c:orientation val="minMax"/>
        </c:scaling>
        <c:delete val="1"/>
        <c:axPos val="b"/>
        <c:numFmt formatCode="General" sourceLinked="1"/>
        <c:majorTickMark val="out"/>
        <c:minorTickMark val="none"/>
        <c:tickLblPos val="nextTo"/>
        <c:crossAx val="255333408"/>
        <c:crosses val="autoZero"/>
        <c:auto val="1"/>
        <c:lblAlgn val="ctr"/>
        <c:lblOffset val="100"/>
        <c:noMultiLvlLbl val="0"/>
      </c:catAx>
      <c:valAx>
        <c:axId val="255333408"/>
        <c:scaling>
          <c:orientation val="minMax"/>
        </c:scaling>
        <c:delete val="1"/>
        <c:axPos val="l"/>
        <c:numFmt formatCode="0.00" sourceLinked="1"/>
        <c:majorTickMark val="none"/>
        <c:minorTickMark val="none"/>
        <c:tickLblPos val="nextTo"/>
        <c:crossAx val="2553319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08163265306121E-2"/>
          <c:y val="1.9900497512437811E-2"/>
          <c:w val="0.96938775510204078"/>
          <c:h val="0.82089552238805963"/>
        </c:manualLayout>
      </c:layout>
      <c:areaChart>
        <c:grouping val="standard"/>
        <c:varyColors val="0"/>
        <c:ser>
          <c:idx val="0"/>
          <c:order val="0"/>
          <c:tx>
            <c:strRef>
              <c:f>'pivot report'!$B$17</c:f>
              <c:strCache>
                <c:ptCount val="1"/>
                <c:pt idx="0">
                  <c:v>Total</c:v>
                </c:pt>
              </c:strCache>
            </c:strRef>
          </c:tx>
          <c:spPr>
            <a:solidFill>
              <a:schemeClr val="accent1"/>
            </a:solidFill>
            <a:ln>
              <a:noFill/>
            </a:ln>
            <a:effectLst/>
          </c:spPr>
          <c:cat>
            <c:strRef>
              <c:f>'pivot report'!$A$18:$A$48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report'!$B$18:$B$48</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0-1C95-449C-9BEE-5CD2E26AFA66}"/>
            </c:ext>
          </c:extLst>
        </c:ser>
        <c:dLbls>
          <c:showLegendKey val="0"/>
          <c:showVal val="0"/>
          <c:showCatName val="0"/>
          <c:showSerName val="0"/>
          <c:showPercent val="0"/>
          <c:showBubbleSize val="0"/>
        </c:dLbls>
        <c:axId val="1857374352"/>
        <c:axId val="1857374832"/>
      </c:areaChart>
      <c:catAx>
        <c:axId val="1857374352"/>
        <c:scaling>
          <c:orientation val="minMax"/>
        </c:scaling>
        <c:delete val="1"/>
        <c:axPos val="b"/>
        <c:numFmt formatCode="General" sourceLinked="1"/>
        <c:majorTickMark val="out"/>
        <c:minorTickMark val="none"/>
        <c:tickLblPos val="nextTo"/>
        <c:crossAx val="1857374832"/>
        <c:crosses val="autoZero"/>
        <c:auto val="1"/>
        <c:lblAlgn val="ctr"/>
        <c:lblOffset val="100"/>
        <c:noMultiLvlLbl val="0"/>
      </c:catAx>
      <c:valAx>
        <c:axId val="1857374832"/>
        <c:scaling>
          <c:orientation val="minMax"/>
        </c:scaling>
        <c:delete val="1"/>
        <c:axPos val="l"/>
        <c:numFmt formatCode="0.00" sourceLinked="1"/>
        <c:majorTickMark val="none"/>
        <c:minorTickMark val="none"/>
        <c:tickLblPos val="nextTo"/>
        <c:crossAx val="18573743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6636528028933E-3"/>
          <c:y val="0"/>
          <c:w val="0.9963833634719711"/>
          <c:h val="0.76549300624387862"/>
        </c:manualLayout>
      </c:layout>
      <c:barChart>
        <c:barDir val="col"/>
        <c:grouping val="clustered"/>
        <c:varyColors val="0"/>
        <c:ser>
          <c:idx val="0"/>
          <c:order val="0"/>
          <c:tx>
            <c:strRef>
              <c:f>'pivot report'!$K$5</c:f>
              <c:strCache>
                <c:ptCount val="1"/>
                <c:pt idx="0">
                  <c:v>Total</c:v>
                </c:pt>
              </c:strCache>
            </c:strRef>
          </c:tx>
          <c:spPr>
            <a:solidFill>
              <a:schemeClr val="accent1"/>
            </a:solidFill>
            <a:ln>
              <a:noFill/>
            </a:ln>
            <a:effectLst/>
          </c:spPr>
          <c:invertIfNegative val="0"/>
          <c:cat>
            <c:strRef>
              <c:f>'pivot report'!$J$6:$J$14</c:f>
              <c:strCache>
                <c:ptCount val="8"/>
                <c:pt idx="0">
                  <c:v>0-9</c:v>
                </c:pt>
                <c:pt idx="1">
                  <c:v>10-19</c:v>
                </c:pt>
                <c:pt idx="2">
                  <c:v>20-29</c:v>
                </c:pt>
                <c:pt idx="3">
                  <c:v>30-39</c:v>
                </c:pt>
                <c:pt idx="4">
                  <c:v>40-49</c:v>
                </c:pt>
                <c:pt idx="5">
                  <c:v>50-59</c:v>
                </c:pt>
                <c:pt idx="6">
                  <c:v>60-69</c:v>
                </c:pt>
                <c:pt idx="7">
                  <c:v>70-79</c:v>
                </c:pt>
              </c:strCache>
            </c:strRef>
          </c:cat>
          <c:val>
            <c:numRef>
              <c:f>'pivot report'!$K$6:$K$14</c:f>
              <c:numCache>
                <c:formatCode>General</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0-2071-4377-A80F-9DC072207A0F}"/>
            </c:ext>
          </c:extLst>
        </c:ser>
        <c:dLbls>
          <c:showLegendKey val="0"/>
          <c:showVal val="0"/>
          <c:showCatName val="0"/>
          <c:showSerName val="0"/>
          <c:showPercent val="0"/>
          <c:showBubbleSize val="0"/>
        </c:dLbls>
        <c:gapWidth val="219"/>
        <c:overlap val="-27"/>
        <c:axId val="139742335"/>
        <c:axId val="139741375"/>
      </c:barChart>
      <c:catAx>
        <c:axId val="13974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41375"/>
        <c:crosses val="autoZero"/>
        <c:auto val="1"/>
        <c:lblAlgn val="ctr"/>
        <c:lblOffset val="100"/>
        <c:noMultiLvlLbl val="0"/>
      </c:catAx>
      <c:valAx>
        <c:axId val="139741375"/>
        <c:scaling>
          <c:orientation val="minMax"/>
        </c:scaling>
        <c:delete val="1"/>
        <c:axPos val="l"/>
        <c:numFmt formatCode="General" sourceLinked="1"/>
        <c:majorTickMark val="none"/>
        <c:minorTickMark val="none"/>
        <c:tickLblPos val="nextTo"/>
        <c:crossAx val="13974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6499996287964841"/>
          <c:y val="0.21906607695084679"/>
          <c:w val="0.59595239686110313"/>
          <c:h val="0.6674672130522783"/>
        </c:manualLayout>
      </c:layout>
      <c:pieChart>
        <c:varyColors val="1"/>
        <c:ser>
          <c:idx val="0"/>
          <c:order val="0"/>
          <c:tx>
            <c:strRef>
              <c:f>'pivot report'!$K$19</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43CB-4DC1-B6EE-AD2190B24F0E}"/>
              </c:ext>
            </c:extLst>
          </c:dPt>
          <c:dPt>
            <c:idx val="1"/>
            <c:bubble3D val="0"/>
            <c:spPr>
              <a:solidFill>
                <a:schemeClr val="accent2"/>
              </a:solidFill>
              <a:ln>
                <a:noFill/>
              </a:ln>
              <a:effectLst/>
            </c:spPr>
            <c:extLst>
              <c:ext xmlns:c16="http://schemas.microsoft.com/office/drawing/2014/chart" uri="{C3380CC4-5D6E-409C-BE32-E72D297353CC}">
                <c16:uniqueId val="{00000003-43CB-4DC1-B6EE-AD2190B24F0E}"/>
              </c:ext>
            </c:extLst>
          </c:dPt>
          <c:dLbls>
            <c:spPr>
              <a:noFill/>
              <a:ln>
                <a:noFill/>
              </a:ln>
              <a:effectLst/>
            </c:spPr>
            <c:txPr>
              <a:bodyPr rot="0" spcFirstLastPara="1" vertOverflow="ellipsis" vert="horz" wrap="square" lIns="0" tIns="0" rIns="0" bIns="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report'!$J$20:$J$22</c:f>
              <c:strCache>
                <c:ptCount val="2"/>
                <c:pt idx="0">
                  <c:v>Delay</c:v>
                </c:pt>
                <c:pt idx="1">
                  <c:v>On Time</c:v>
                </c:pt>
              </c:strCache>
            </c:strRef>
          </c:cat>
          <c:val>
            <c:numRef>
              <c:f>'pivot report'!$K$20:$K$22</c:f>
              <c:numCache>
                <c:formatCode>General</c:formatCode>
                <c:ptCount val="2"/>
                <c:pt idx="0">
                  <c:v>311</c:v>
                </c:pt>
                <c:pt idx="1">
                  <c:v>195</c:v>
                </c:pt>
              </c:numCache>
            </c:numRef>
          </c:val>
          <c:extLst>
            <c:ext xmlns:c16="http://schemas.microsoft.com/office/drawing/2014/chart" uri="{C3380CC4-5D6E-409C-BE32-E72D297353CC}">
              <c16:uniqueId val="{00000004-43CB-4DC1-B6EE-AD2190B24F0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666679040117203"/>
          <c:y val="1.7098340402208756E-2"/>
          <c:w val="0.63190469473460187"/>
          <c:h val="0.226602207207550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945809445051864"/>
          <c:y val="0.14593958091843542"/>
          <c:w val="0.5298922435214678"/>
          <c:h val="0.66559603112786214"/>
        </c:manualLayout>
      </c:layout>
      <c:pieChart>
        <c:varyColors val="1"/>
        <c:ser>
          <c:idx val="0"/>
          <c:order val="0"/>
          <c:tx>
            <c:strRef>
              <c:f>'pivot report'!$K$25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302-4963-A732-93B6B79514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302-4963-A732-93B6B79514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report'!$J$26:$J$28</c:f>
              <c:strCache>
                <c:ptCount val="2"/>
                <c:pt idx="0">
                  <c:v>Female</c:v>
                </c:pt>
                <c:pt idx="1">
                  <c:v>Male</c:v>
                </c:pt>
              </c:strCache>
            </c:strRef>
          </c:cat>
          <c:val>
            <c:numRef>
              <c:f>'pivot report'!$K$26:$K$28</c:f>
              <c:numCache>
                <c:formatCode>General</c:formatCode>
                <c:ptCount val="2"/>
                <c:pt idx="0">
                  <c:v>233</c:v>
                </c:pt>
                <c:pt idx="1">
                  <c:v>273</c:v>
                </c:pt>
              </c:numCache>
            </c:numRef>
          </c:val>
          <c:extLst>
            <c:ext xmlns:c16="http://schemas.microsoft.com/office/drawing/2014/chart" uri="{C3380CC4-5D6E-409C-BE32-E72D297353CC}">
              <c16:uniqueId val="{00000004-D302-4963-A732-93B6B79514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646211923597192"/>
          <c:y val="5.7815689705453485E-4"/>
          <c:w val="0.51280469068890588"/>
          <c:h val="0.11600699419917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53331497436302"/>
          <c:y val="6.5405398613231858E-2"/>
          <c:w val="0.6551432687781974"/>
          <c:h val="0.72015700385854575"/>
        </c:manualLayout>
      </c:layout>
      <c:barChart>
        <c:barDir val="bar"/>
        <c:grouping val="clustered"/>
        <c:varyColors val="0"/>
        <c:ser>
          <c:idx val="0"/>
          <c:order val="0"/>
          <c:tx>
            <c:strRef>
              <c:f>'pivot report'!$K$31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report'!$J$32:$J$40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report'!$K$32:$K$40</c:f>
              <c:numCache>
                <c:formatCode>General</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0-AD00-41D3-B0A3-F3E41470566B}"/>
            </c:ext>
          </c:extLst>
        </c:ser>
        <c:dLbls>
          <c:showLegendKey val="0"/>
          <c:showVal val="0"/>
          <c:showCatName val="0"/>
          <c:showSerName val="0"/>
          <c:showPercent val="0"/>
          <c:showBubbleSize val="0"/>
        </c:dLbls>
        <c:gapWidth val="182"/>
        <c:axId val="27437935"/>
        <c:axId val="27438415"/>
      </c:barChart>
      <c:catAx>
        <c:axId val="2743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8415"/>
        <c:crosses val="autoZero"/>
        <c:auto val="1"/>
        <c:lblAlgn val="ctr"/>
        <c:lblOffset val="100"/>
        <c:noMultiLvlLbl val="0"/>
      </c:catAx>
      <c:valAx>
        <c:axId val="27438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3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518923037846077E-2"/>
          <c:y val="0"/>
          <c:w val="0.94131979660907439"/>
          <c:h val="0.82145733832451273"/>
        </c:manualLayout>
      </c:layout>
      <c:areaChart>
        <c:grouping val="standard"/>
        <c:varyColors val="0"/>
        <c:ser>
          <c:idx val="0"/>
          <c:order val="0"/>
          <c:tx>
            <c:strRef>
              <c:f>'pivot report'!$E$10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report'!$D$11:$D$41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report'!$E$11:$E$41</c:f>
              <c:numCache>
                <c:formatCode>0.00</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900D-4804-A875-9949EDC917A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0308336"/>
        <c:axId val="2000308816"/>
      </c:areaChart>
      <c:catAx>
        <c:axId val="20003083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0308816"/>
        <c:crosses val="autoZero"/>
        <c:auto val="1"/>
        <c:lblAlgn val="ctr"/>
        <c:lblOffset val="100"/>
        <c:noMultiLvlLbl val="0"/>
      </c:catAx>
      <c:valAx>
        <c:axId val="2000308816"/>
        <c:scaling>
          <c:orientation val="minMax"/>
        </c:scaling>
        <c:delete val="1"/>
        <c:axPos val="l"/>
        <c:numFmt formatCode="0.00" sourceLinked="1"/>
        <c:majorTickMark val="out"/>
        <c:minorTickMark val="none"/>
        <c:tickLblPos val="nextTo"/>
        <c:crossAx val="20003083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15175306105226E-2"/>
          <c:y val="6.2240663900414939E-2"/>
          <c:w val="0.91513651105199001"/>
          <c:h val="0.80109942170091808"/>
        </c:manualLayout>
      </c:layout>
      <c:areaChart>
        <c:grouping val="standard"/>
        <c:varyColors val="0"/>
        <c:ser>
          <c:idx val="0"/>
          <c:order val="0"/>
          <c:tx>
            <c:strRef>
              <c:f>'pivot report'!$H$10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report'!$G$11:$G$41</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report'!$H$11:$H$41</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0-D871-4080-97E4-BD96E0BB0A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5331968"/>
        <c:axId val="255333408"/>
      </c:areaChart>
      <c:catAx>
        <c:axId val="2553319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55333408"/>
        <c:crosses val="autoZero"/>
        <c:auto val="1"/>
        <c:lblAlgn val="ctr"/>
        <c:lblOffset val="100"/>
        <c:noMultiLvlLbl val="0"/>
      </c:catAx>
      <c:valAx>
        <c:axId val="255333408"/>
        <c:scaling>
          <c:orientation val="minMax"/>
        </c:scaling>
        <c:delete val="1"/>
        <c:axPos val="l"/>
        <c:numFmt formatCode="0.00" sourceLinked="1"/>
        <c:majorTickMark val="out"/>
        <c:minorTickMark val="none"/>
        <c:tickLblPos val="nextTo"/>
        <c:crossAx val="2553319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6021505376344086E-3"/>
          <c:w val="0.95528455284552849"/>
          <c:h val="0.85927821522309711"/>
        </c:manualLayout>
      </c:layout>
      <c:areaChart>
        <c:grouping val="standard"/>
        <c:varyColors val="0"/>
        <c:ser>
          <c:idx val="0"/>
          <c:order val="0"/>
          <c:tx>
            <c:strRef>
              <c:f>'pivot report'!$B$17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report'!$A$18:$A$48</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report'!$B$18:$B$48</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0-CF33-4D72-98DC-DF73C5DED8B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57374352"/>
        <c:axId val="1857374832"/>
      </c:areaChart>
      <c:catAx>
        <c:axId val="18573743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57374832"/>
        <c:crosses val="autoZero"/>
        <c:auto val="1"/>
        <c:lblAlgn val="ctr"/>
        <c:lblOffset val="100"/>
        <c:noMultiLvlLbl val="0"/>
      </c:catAx>
      <c:valAx>
        <c:axId val="1857374832"/>
        <c:scaling>
          <c:orientation val="minMax"/>
        </c:scaling>
        <c:delete val="1"/>
        <c:axPos val="l"/>
        <c:numFmt formatCode="0.00" sourceLinked="1"/>
        <c:majorTickMark val="out"/>
        <c:minorTickMark val="none"/>
        <c:tickLblPos val="nextTo"/>
        <c:crossAx val="18573743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o of patient daily visi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ra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ra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ra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6350</xdr:colOff>
      <xdr:row>53</xdr:row>
      <xdr:rowOff>95251</xdr:rowOff>
    </xdr:from>
    <xdr:to>
      <xdr:col>3</xdr:col>
      <xdr:colOff>1333500</xdr:colOff>
      <xdr:row>56</xdr:row>
      <xdr:rowOff>31751</xdr:rowOff>
    </xdr:to>
    <xdr:graphicFrame macro="">
      <xdr:nvGraphicFramePr>
        <xdr:cNvPr id="7" name="Chart 6">
          <a:extLst>
            <a:ext uri="{FF2B5EF4-FFF2-40B4-BE49-F238E27FC236}">
              <a16:creationId xmlns:a16="http://schemas.microsoft.com/office/drawing/2014/main" id="{4334CC2C-D429-4C57-BB2D-D29BFD583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80916</xdr:colOff>
      <xdr:row>4</xdr:row>
      <xdr:rowOff>115455</xdr:rowOff>
    </xdr:from>
    <xdr:to>
      <xdr:col>2</xdr:col>
      <xdr:colOff>346364</xdr:colOff>
      <xdr:row>19</xdr:row>
      <xdr:rowOff>179597</xdr:rowOff>
    </xdr:to>
    <xdr:sp macro="" textlink="">
      <xdr:nvSpPr>
        <xdr:cNvPr id="4" name="Rectangle: Rounded Corners 3">
          <a:extLst>
            <a:ext uri="{FF2B5EF4-FFF2-40B4-BE49-F238E27FC236}">
              <a16:creationId xmlns:a16="http://schemas.microsoft.com/office/drawing/2014/main" id="{AB8F035E-1F48-22B0-1AFC-416B0E4B594E}"/>
            </a:ext>
          </a:extLst>
        </xdr:cNvPr>
        <xdr:cNvSpPr/>
      </xdr:nvSpPr>
      <xdr:spPr>
        <a:xfrm>
          <a:off x="690259" y="859495"/>
          <a:ext cx="874792" cy="2854294"/>
        </a:xfrm>
        <a:prstGeom prst="roundRect">
          <a:avLst>
            <a:gd name="adj" fmla="val 10131"/>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74502</xdr:colOff>
      <xdr:row>0</xdr:row>
      <xdr:rowOff>51560</xdr:rowOff>
    </xdr:from>
    <xdr:to>
      <xdr:col>7</xdr:col>
      <xdr:colOff>436489</xdr:colOff>
      <xdr:row>4</xdr:row>
      <xdr:rowOff>76961</xdr:rowOff>
    </xdr:to>
    <xdr:sp macro="" textlink="">
      <xdr:nvSpPr>
        <xdr:cNvPr id="3" name="Rectangle: Rounded Corners 2">
          <a:extLst>
            <a:ext uri="{FF2B5EF4-FFF2-40B4-BE49-F238E27FC236}">
              <a16:creationId xmlns:a16="http://schemas.microsoft.com/office/drawing/2014/main" id="{4E67DAE2-A922-7094-8B76-7AE2690CCC6E}"/>
            </a:ext>
          </a:extLst>
        </xdr:cNvPr>
        <xdr:cNvSpPr/>
      </xdr:nvSpPr>
      <xdr:spPr>
        <a:xfrm>
          <a:off x="683845" y="51560"/>
          <a:ext cx="4018048" cy="769441"/>
        </a:xfrm>
        <a:prstGeom prst="roundRect">
          <a:avLst>
            <a:gd name="adj" fmla="val 9802"/>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468837</xdr:colOff>
      <xdr:row>0</xdr:row>
      <xdr:rowOff>57983</xdr:rowOff>
    </xdr:from>
    <xdr:to>
      <xdr:col>10</xdr:col>
      <xdr:colOff>166768</xdr:colOff>
      <xdr:row>4</xdr:row>
      <xdr:rowOff>83384</xdr:rowOff>
    </xdr:to>
    <xdr:sp macro="" textlink="">
      <xdr:nvSpPr>
        <xdr:cNvPr id="5" name="Rectangle: Rounded Corners 4">
          <a:extLst>
            <a:ext uri="{FF2B5EF4-FFF2-40B4-BE49-F238E27FC236}">
              <a16:creationId xmlns:a16="http://schemas.microsoft.com/office/drawing/2014/main" id="{7EA452DB-6AB8-6E17-52D2-D9F17931ED94}"/>
            </a:ext>
          </a:extLst>
        </xdr:cNvPr>
        <xdr:cNvSpPr/>
      </xdr:nvSpPr>
      <xdr:spPr>
        <a:xfrm>
          <a:off x="4734241" y="57983"/>
          <a:ext cx="1525961" cy="769441"/>
        </a:xfrm>
        <a:prstGeom prst="roundRect">
          <a:avLst>
            <a:gd name="adj" fmla="val 18138"/>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248671</xdr:colOff>
      <xdr:row>0</xdr:row>
      <xdr:rowOff>70804</xdr:rowOff>
    </xdr:from>
    <xdr:to>
      <xdr:col>13</xdr:col>
      <xdr:colOff>102626</xdr:colOff>
      <xdr:row>8</xdr:row>
      <xdr:rowOff>51313</xdr:rowOff>
    </xdr:to>
    <xdr:sp macro="" textlink="">
      <xdr:nvSpPr>
        <xdr:cNvPr id="6" name="Rectangle: Rounded Corners 5">
          <a:extLst>
            <a:ext uri="{FF2B5EF4-FFF2-40B4-BE49-F238E27FC236}">
              <a16:creationId xmlns:a16="http://schemas.microsoft.com/office/drawing/2014/main" id="{D6027696-3823-648B-B51A-AE65026DFAB0}"/>
            </a:ext>
          </a:extLst>
        </xdr:cNvPr>
        <xdr:cNvSpPr/>
      </xdr:nvSpPr>
      <xdr:spPr>
        <a:xfrm>
          <a:off x="6342105" y="70804"/>
          <a:ext cx="1681986" cy="1468590"/>
        </a:xfrm>
        <a:prstGeom prst="roundRect">
          <a:avLst>
            <a:gd name="adj" fmla="val 10910"/>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192425</xdr:colOff>
      <xdr:row>0</xdr:row>
      <xdr:rowOff>64141</xdr:rowOff>
    </xdr:from>
    <xdr:to>
      <xdr:col>16</xdr:col>
      <xdr:colOff>70557</xdr:colOff>
      <xdr:row>8</xdr:row>
      <xdr:rowOff>51313</xdr:rowOff>
    </xdr:to>
    <xdr:sp macro="" textlink="">
      <xdr:nvSpPr>
        <xdr:cNvPr id="7" name="Rectangle: Rounded Corners 6">
          <a:extLst>
            <a:ext uri="{FF2B5EF4-FFF2-40B4-BE49-F238E27FC236}">
              <a16:creationId xmlns:a16="http://schemas.microsoft.com/office/drawing/2014/main" id="{CC35991D-CE6C-E23E-7946-B7079580F828}"/>
            </a:ext>
          </a:extLst>
        </xdr:cNvPr>
        <xdr:cNvSpPr/>
      </xdr:nvSpPr>
      <xdr:spPr>
        <a:xfrm>
          <a:off x="8113890" y="64141"/>
          <a:ext cx="1706162" cy="1475253"/>
        </a:xfrm>
        <a:prstGeom prst="roundRect">
          <a:avLst>
            <a:gd name="adj" fmla="val 10910"/>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420864</xdr:colOff>
      <xdr:row>4</xdr:row>
      <xdr:rowOff>128284</xdr:rowOff>
    </xdr:from>
    <xdr:to>
      <xdr:col>5</xdr:col>
      <xdr:colOff>85319</xdr:colOff>
      <xdr:row>9</xdr:row>
      <xdr:rowOff>146410</xdr:rowOff>
    </xdr:to>
    <xdr:sp macro="" textlink="">
      <xdr:nvSpPr>
        <xdr:cNvPr id="8" name="Rectangle: Rounded Corners 7">
          <a:extLst>
            <a:ext uri="{FF2B5EF4-FFF2-40B4-BE49-F238E27FC236}">
              <a16:creationId xmlns:a16="http://schemas.microsoft.com/office/drawing/2014/main" id="{53C7478B-361B-50D6-5968-8B3B13EC3350}"/>
            </a:ext>
          </a:extLst>
        </xdr:cNvPr>
        <xdr:cNvSpPr/>
      </xdr:nvSpPr>
      <xdr:spPr>
        <a:xfrm>
          <a:off x="1639551" y="872324"/>
          <a:ext cx="1492485" cy="948177"/>
        </a:xfrm>
        <a:prstGeom prst="roundRect">
          <a:avLst>
            <a:gd name="adj" fmla="val 10131"/>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144089</xdr:colOff>
      <xdr:row>4</xdr:row>
      <xdr:rowOff>128284</xdr:rowOff>
    </xdr:from>
    <xdr:to>
      <xdr:col>7</xdr:col>
      <xdr:colOff>410169</xdr:colOff>
      <xdr:row>9</xdr:row>
      <xdr:rowOff>146410</xdr:rowOff>
    </xdr:to>
    <xdr:sp macro="" textlink="">
      <xdr:nvSpPr>
        <xdr:cNvPr id="9" name="Rectangle: Rounded Corners 8">
          <a:extLst>
            <a:ext uri="{FF2B5EF4-FFF2-40B4-BE49-F238E27FC236}">
              <a16:creationId xmlns:a16="http://schemas.microsoft.com/office/drawing/2014/main" id="{C06E0F5C-6C3D-5BF2-A5D3-A057556A380E}"/>
            </a:ext>
          </a:extLst>
        </xdr:cNvPr>
        <xdr:cNvSpPr/>
      </xdr:nvSpPr>
      <xdr:spPr>
        <a:xfrm>
          <a:off x="3190806" y="872324"/>
          <a:ext cx="1484767" cy="948177"/>
        </a:xfrm>
        <a:prstGeom prst="roundRect">
          <a:avLst>
            <a:gd name="adj" fmla="val 10131"/>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529275</xdr:colOff>
      <xdr:row>4</xdr:row>
      <xdr:rowOff>135813</xdr:rowOff>
    </xdr:from>
    <xdr:to>
      <xdr:col>10</xdr:col>
      <xdr:colOff>198841</xdr:colOff>
      <xdr:row>9</xdr:row>
      <xdr:rowOff>153939</xdr:rowOff>
    </xdr:to>
    <xdr:sp macro="" textlink="">
      <xdr:nvSpPr>
        <xdr:cNvPr id="10" name="Rectangle: Rounded Corners 9">
          <a:extLst>
            <a:ext uri="{FF2B5EF4-FFF2-40B4-BE49-F238E27FC236}">
              <a16:creationId xmlns:a16="http://schemas.microsoft.com/office/drawing/2014/main" id="{30F7700C-F638-F859-9448-52C3143550E3}"/>
            </a:ext>
          </a:extLst>
        </xdr:cNvPr>
        <xdr:cNvSpPr/>
      </xdr:nvSpPr>
      <xdr:spPr>
        <a:xfrm>
          <a:off x="4794679" y="879853"/>
          <a:ext cx="1497596" cy="948177"/>
        </a:xfrm>
        <a:prstGeom prst="roundRect">
          <a:avLst>
            <a:gd name="adj" fmla="val 10131"/>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395207</xdr:colOff>
      <xdr:row>13</xdr:row>
      <xdr:rowOff>115456</xdr:rowOff>
    </xdr:from>
    <xdr:to>
      <xdr:col>10</xdr:col>
      <xdr:colOff>166768</xdr:colOff>
      <xdr:row>19</xdr:row>
      <xdr:rowOff>173183</xdr:rowOff>
    </xdr:to>
    <xdr:sp macro="" textlink="">
      <xdr:nvSpPr>
        <xdr:cNvPr id="12" name="Rectangle: Rounded Corners 11">
          <a:extLst>
            <a:ext uri="{FF2B5EF4-FFF2-40B4-BE49-F238E27FC236}">
              <a16:creationId xmlns:a16="http://schemas.microsoft.com/office/drawing/2014/main" id="{03139EC6-1971-BE90-B4FE-3DAD076693A2}"/>
            </a:ext>
          </a:extLst>
        </xdr:cNvPr>
        <xdr:cNvSpPr/>
      </xdr:nvSpPr>
      <xdr:spPr>
        <a:xfrm>
          <a:off x="1613894" y="2533587"/>
          <a:ext cx="4646308" cy="1173788"/>
        </a:xfrm>
        <a:prstGeom prst="roundRect">
          <a:avLst>
            <a:gd name="adj" fmla="val 10131"/>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446521</xdr:colOff>
      <xdr:row>10</xdr:row>
      <xdr:rowOff>25656</xdr:rowOff>
    </xdr:from>
    <xdr:to>
      <xdr:col>10</xdr:col>
      <xdr:colOff>128283</xdr:colOff>
      <xdr:row>13</xdr:row>
      <xdr:rowOff>57727</xdr:rowOff>
    </xdr:to>
    <xdr:sp macro="" textlink="">
      <xdr:nvSpPr>
        <xdr:cNvPr id="13" name="Rectangle: Rounded Corners 12">
          <a:extLst>
            <a:ext uri="{FF2B5EF4-FFF2-40B4-BE49-F238E27FC236}">
              <a16:creationId xmlns:a16="http://schemas.microsoft.com/office/drawing/2014/main" id="{33EFB3EB-8716-BE43-0FF2-C1D956E52101}"/>
            </a:ext>
          </a:extLst>
        </xdr:cNvPr>
        <xdr:cNvSpPr/>
      </xdr:nvSpPr>
      <xdr:spPr>
        <a:xfrm>
          <a:off x="1665208" y="1885757"/>
          <a:ext cx="4556509" cy="590101"/>
        </a:xfrm>
        <a:prstGeom prst="roundRect">
          <a:avLst>
            <a:gd name="adj" fmla="val 4696"/>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229428</xdr:colOff>
      <xdr:row>8</xdr:row>
      <xdr:rowOff>128283</xdr:rowOff>
    </xdr:from>
    <xdr:to>
      <xdr:col>16</xdr:col>
      <xdr:colOff>64141</xdr:colOff>
      <xdr:row>20</xdr:row>
      <xdr:rowOff>32071</xdr:rowOff>
    </xdr:to>
    <xdr:sp macro="" textlink="">
      <xdr:nvSpPr>
        <xdr:cNvPr id="14" name="Rectangle: Rounded Corners 13">
          <a:extLst>
            <a:ext uri="{FF2B5EF4-FFF2-40B4-BE49-F238E27FC236}">
              <a16:creationId xmlns:a16="http://schemas.microsoft.com/office/drawing/2014/main" id="{ADB7D7C9-66F1-388C-7BD5-0CA183719162}"/>
            </a:ext>
          </a:extLst>
        </xdr:cNvPr>
        <xdr:cNvSpPr/>
      </xdr:nvSpPr>
      <xdr:spPr>
        <a:xfrm>
          <a:off x="6322862" y="1616364"/>
          <a:ext cx="3490774" cy="2135909"/>
        </a:xfrm>
        <a:prstGeom prst="roundRect">
          <a:avLst>
            <a:gd name="adj" fmla="val 4904"/>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596517</xdr:colOff>
      <xdr:row>0</xdr:row>
      <xdr:rowOff>134697</xdr:rowOff>
    </xdr:from>
    <xdr:to>
      <xdr:col>7</xdr:col>
      <xdr:colOff>282223</xdr:colOff>
      <xdr:row>2</xdr:row>
      <xdr:rowOff>6415</xdr:rowOff>
    </xdr:to>
    <xdr:sp macro="" textlink="">
      <xdr:nvSpPr>
        <xdr:cNvPr id="18" name="TextBox 17">
          <a:extLst>
            <a:ext uri="{FF2B5EF4-FFF2-40B4-BE49-F238E27FC236}">
              <a16:creationId xmlns:a16="http://schemas.microsoft.com/office/drawing/2014/main" id="{19D6FCA5-1D35-14FD-1440-BBAC6A04D81D}"/>
            </a:ext>
          </a:extLst>
        </xdr:cNvPr>
        <xdr:cNvSpPr txBox="1"/>
      </xdr:nvSpPr>
      <xdr:spPr>
        <a:xfrm>
          <a:off x="1205860" y="134697"/>
          <a:ext cx="3341767" cy="24373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chemeClr val="tx1"/>
              </a:solidFill>
              <a:latin typeface="Bahnschrift" panose="020B0502040204020203" pitchFamily="34" charset="0"/>
            </a:rPr>
            <a:t>Hospital Emergency Room Dashboard</a:t>
          </a:r>
        </a:p>
      </xdr:txBody>
    </xdr:sp>
    <xdr:clientData/>
  </xdr:twoCellAnchor>
  <xdr:twoCellAnchor editAs="absolute">
    <xdr:from>
      <xdr:col>1</xdr:col>
      <xdr:colOff>70556</xdr:colOff>
      <xdr:row>0</xdr:row>
      <xdr:rowOff>0</xdr:rowOff>
    </xdr:from>
    <xdr:to>
      <xdr:col>1</xdr:col>
      <xdr:colOff>597988</xdr:colOff>
      <xdr:row>2</xdr:row>
      <xdr:rowOff>51313</xdr:rowOff>
    </xdr:to>
    <xdr:pic>
      <xdr:nvPicPr>
        <xdr:cNvPr id="20" name="Picture 19">
          <a:extLst>
            <a:ext uri="{FF2B5EF4-FFF2-40B4-BE49-F238E27FC236}">
              <a16:creationId xmlns:a16="http://schemas.microsoft.com/office/drawing/2014/main" id="{713606BE-C60A-B1DA-53F3-64BA69079C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000" t="1" r="21538" b="15488"/>
        <a:stretch/>
      </xdr:blipFill>
      <xdr:spPr>
        <a:xfrm>
          <a:off x="679899" y="0"/>
          <a:ext cx="527432" cy="423333"/>
        </a:xfrm>
        <a:prstGeom prst="rect">
          <a:avLst/>
        </a:prstGeom>
      </xdr:spPr>
    </xdr:pic>
    <xdr:clientData/>
  </xdr:twoCellAnchor>
  <xdr:twoCellAnchor editAs="absolute">
    <xdr:from>
      <xdr:col>3</xdr:col>
      <xdr:colOff>81846</xdr:colOff>
      <xdr:row>2</xdr:row>
      <xdr:rowOff>6416</xdr:rowOff>
    </xdr:from>
    <xdr:to>
      <xdr:col>5</xdr:col>
      <xdr:colOff>134696</xdr:colOff>
      <xdr:row>3</xdr:row>
      <xdr:rowOff>70557</xdr:rowOff>
    </xdr:to>
    <xdr:sp macro="" textlink="">
      <xdr:nvSpPr>
        <xdr:cNvPr id="21" name="TextBox 20">
          <a:extLst>
            <a:ext uri="{FF2B5EF4-FFF2-40B4-BE49-F238E27FC236}">
              <a16:creationId xmlns:a16="http://schemas.microsoft.com/office/drawing/2014/main" id="{D88CBE35-3102-9446-72B3-175F1523D6A8}"/>
            </a:ext>
          </a:extLst>
        </xdr:cNvPr>
        <xdr:cNvSpPr txBox="1"/>
      </xdr:nvSpPr>
      <xdr:spPr>
        <a:xfrm>
          <a:off x="1909876" y="378436"/>
          <a:ext cx="1271537" cy="25015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chemeClr val="tx1"/>
              </a:solidFill>
              <a:latin typeface="Bahnschrift" panose="020B0502040204020203" pitchFamily="34" charset="0"/>
            </a:rPr>
            <a:t>Monthly</a:t>
          </a:r>
          <a:r>
            <a:rPr lang="en-IN" sz="1400" b="1" baseline="0">
              <a:solidFill>
                <a:schemeClr val="tx1"/>
              </a:solidFill>
              <a:latin typeface="Bahnschrift" panose="020B0502040204020203" pitchFamily="34" charset="0"/>
            </a:rPr>
            <a:t> Report</a:t>
          </a:r>
          <a:endParaRPr lang="en-IN" sz="1400" b="1">
            <a:solidFill>
              <a:schemeClr val="tx1"/>
            </a:solidFill>
            <a:latin typeface="Bahnschrift" panose="020B0502040204020203" pitchFamily="34" charset="0"/>
          </a:endParaRPr>
        </a:p>
      </xdr:txBody>
    </xdr:sp>
    <xdr:clientData/>
  </xdr:twoCellAnchor>
  <xdr:twoCellAnchor editAs="absolute">
    <xdr:from>
      <xdr:col>3</xdr:col>
      <xdr:colOff>332000</xdr:colOff>
      <xdr:row>4</xdr:row>
      <xdr:rowOff>179596</xdr:rowOff>
    </xdr:from>
    <xdr:to>
      <xdr:col>4</xdr:col>
      <xdr:colOff>256566</xdr:colOff>
      <xdr:row>6</xdr:row>
      <xdr:rowOff>19240</xdr:rowOff>
    </xdr:to>
    <xdr:sp macro="" textlink="'pivot report'!A4">
      <xdr:nvSpPr>
        <xdr:cNvPr id="30" name="TextBox 29">
          <a:extLst>
            <a:ext uri="{FF2B5EF4-FFF2-40B4-BE49-F238E27FC236}">
              <a16:creationId xmlns:a16="http://schemas.microsoft.com/office/drawing/2014/main" id="{0526D7AF-C56D-0E81-8C28-7D7FB51E03F8}"/>
            </a:ext>
          </a:extLst>
        </xdr:cNvPr>
        <xdr:cNvSpPr txBox="1"/>
      </xdr:nvSpPr>
      <xdr:spPr>
        <a:xfrm>
          <a:off x="2160030" y="923636"/>
          <a:ext cx="533910" cy="211665"/>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38BB553-0883-4667-8FCE-60A6CE494DAD}" type="TxLink">
            <a:rPr lang="en-US" sz="1400" b="0" i="0" u="none" strike="noStrike">
              <a:solidFill>
                <a:srgbClr val="000000"/>
              </a:solidFill>
              <a:latin typeface="Aptos Narrow"/>
            </a:rPr>
            <a:pPr/>
            <a:t>506</a:t>
          </a:fld>
          <a:endParaRPr lang="en-US" sz="1400"/>
        </a:p>
      </xdr:txBody>
    </xdr:sp>
    <xdr:clientData/>
  </xdr:twoCellAnchor>
  <xdr:twoCellAnchor editAs="absolute">
    <xdr:from>
      <xdr:col>6</xdr:col>
      <xdr:colOff>120331</xdr:colOff>
      <xdr:row>4</xdr:row>
      <xdr:rowOff>173183</xdr:rowOff>
    </xdr:from>
    <xdr:to>
      <xdr:col>6</xdr:col>
      <xdr:colOff>558029</xdr:colOff>
      <xdr:row>6</xdr:row>
      <xdr:rowOff>6414</xdr:rowOff>
    </xdr:to>
    <xdr:sp macro="" textlink="'pivot report'!A10">
      <xdr:nvSpPr>
        <xdr:cNvPr id="31" name="TextBox 30">
          <a:extLst>
            <a:ext uri="{FF2B5EF4-FFF2-40B4-BE49-F238E27FC236}">
              <a16:creationId xmlns:a16="http://schemas.microsoft.com/office/drawing/2014/main" id="{4C9E07E9-E81C-3122-72CD-AF55C391EB19}"/>
            </a:ext>
          </a:extLst>
        </xdr:cNvPr>
        <xdr:cNvSpPr txBox="1"/>
      </xdr:nvSpPr>
      <xdr:spPr>
        <a:xfrm>
          <a:off x="3776392" y="917223"/>
          <a:ext cx="437698" cy="205252"/>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3D04F75-35E7-47C8-B305-63085B7A4A2C}" type="TxLink">
            <a:rPr lang="en-US" sz="1400" b="0" i="0" u="none" strike="noStrike">
              <a:solidFill>
                <a:srgbClr val="000000"/>
              </a:solidFill>
              <a:latin typeface="Aptos Narrow"/>
            </a:rPr>
            <a:pPr/>
            <a:t>35.58</a:t>
          </a:fld>
          <a:endParaRPr lang="en-IN" sz="1800" b="1">
            <a:solidFill>
              <a:schemeClr val="tx1"/>
            </a:solidFill>
            <a:latin typeface="Bahnschrift" panose="020B0502040204020203" pitchFamily="34" charset="0"/>
          </a:endParaRPr>
        </a:p>
      </xdr:txBody>
    </xdr:sp>
    <xdr:clientData/>
  </xdr:twoCellAnchor>
  <xdr:twoCellAnchor editAs="absolute">
    <xdr:from>
      <xdr:col>8</xdr:col>
      <xdr:colOff>447452</xdr:colOff>
      <xdr:row>4</xdr:row>
      <xdr:rowOff>166770</xdr:rowOff>
    </xdr:from>
    <xdr:to>
      <xdr:col>9</xdr:col>
      <xdr:colOff>282222</xdr:colOff>
      <xdr:row>5</xdr:row>
      <xdr:rowOff>166767</xdr:rowOff>
    </xdr:to>
    <xdr:sp macro="" textlink="'pivot report'!A14">
      <xdr:nvSpPr>
        <xdr:cNvPr id="32" name="TextBox 31">
          <a:extLst>
            <a:ext uri="{FF2B5EF4-FFF2-40B4-BE49-F238E27FC236}">
              <a16:creationId xmlns:a16="http://schemas.microsoft.com/office/drawing/2014/main" id="{D351D2F4-DEC6-C276-C1E1-069DF2D4C42C}"/>
            </a:ext>
          </a:extLst>
        </xdr:cNvPr>
        <xdr:cNvSpPr txBox="1"/>
      </xdr:nvSpPr>
      <xdr:spPr>
        <a:xfrm>
          <a:off x="5322199" y="910810"/>
          <a:ext cx="444114" cy="18600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612DEB7-7E72-4DED-9194-013DDFF25546}" type="TxLink">
            <a:rPr lang="en-US" sz="1400" b="0" i="0" u="none" strike="noStrike">
              <a:solidFill>
                <a:srgbClr val="000000"/>
              </a:solidFill>
              <a:latin typeface="Aptos Narrow"/>
            </a:rPr>
            <a:pPr/>
            <a:t>5.18</a:t>
          </a:fld>
          <a:endParaRPr lang="en-IN" sz="1800" b="1">
            <a:solidFill>
              <a:schemeClr val="tx1"/>
            </a:solidFill>
            <a:latin typeface="Bahnschrift" panose="020B0502040204020203" pitchFamily="34" charset="0"/>
          </a:endParaRPr>
        </a:p>
      </xdr:txBody>
    </xdr:sp>
    <xdr:clientData/>
  </xdr:twoCellAnchor>
  <xdr:twoCellAnchor editAs="absolute">
    <xdr:from>
      <xdr:col>3</xdr:col>
      <xdr:colOff>145985</xdr:colOff>
      <xdr:row>6</xdr:row>
      <xdr:rowOff>38487</xdr:rowOff>
    </xdr:from>
    <xdr:to>
      <xdr:col>5</xdr:col>
      <xdr:colOff>12827</xdr:colOff>
      <xdr:row>7</xdr:row>
      <xdr:rowOff>6415</xdr:rowOff>
    </xdr:to>
    <xdr:sp macro="" textlink="">
      <xdr:nvSpPr>
        <xdr:cNvPr id="35" name="TextBox 34">
          <a:extLst>
            <a:ext uri="{FF2B5EF4-FFF2-40B4-BE49-F238E27FC236}">
              <a16:creationId xmlns:a16="http://schemas.microsoft.com/office/drawing/2014/main" id="{460C7F12-AE89-41EA-117A-CB7153C8AC69}"/>
            </a:ext>
          </a:extLst>
        </xdr:cNvPr>
        <xdr:cNvSpPr txBox="1"/>
      </xdr:nvSpPr>
      <xdr:spPr>
        <a:xfrm>
          <a:off x="1974015" y="1154548"/>
          <a:ext cx="1085529" cy="15393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solidFill>
                <a:schemeClr val="tx1"/>
              </a:solidFill>
              <a:latin typeface="Bahnschrift" panose="020B0502040204020203" pitchFamily="34" charset="0"/>
            </a:rPr>
            <a:t>No</a:t>
          </a:r>
          <a:r>
            <a:rPr lang="en-IN" sz="1000" b="1" baseline="0">
              <a:solidFill>
                <a:schemeClr val="tx1"/>
              </a:solidFill>
              <a:latin typeface="Bahnschrift" panose="020B0502040204020203" pitchFamily="34" charset="0"/>
            </a:rPr>
            <a:t> Of Patients</a:t>
          </a:r>
          <a:endParaRPr lang="en-IN" sz="1000" b="1">
            <a:solidFill>
              <a:schemeClr val="tx1"/>
            </a:solidFill>
            <a:latin typeface="Bahnschrift" panose="020B0502040204020203" pitchFamily="34" charset="0"/>
          </a:endParaRPr>
        </a:p>
      </xdr:txBody>
    </xdr:sp>
    <xdr:clientData/>
  </xdr:twoCellAnchor>
  <xdr:twoCellAnchor editAs="absolute">
    <xdr:from>
      <xdr:col>5</xdr:col>
      <xdr:colOff>582150</xdr:colOff>
      <xdr:row>6</xdr:row>
      <xdr:rowOff>38487</xdr:rowOff>
    </xdr:from>
    <xdr:to>
      <xdr:col>7</xdr:col>
      <xdr:colOff>179597</xdr:colOff>
      <xdr:row>7</xdr:row>
      <xdr:rowOff>1</xdr:rowOff>
    </xdr:to>
    <xdr:sp macro="" textlink="">
      <xdr:nvSpPr>
        <xdr:cNvPr id="36" name="TextBox 35">
          <a:extLst>
            <a:ext uri="{FF2B5EF4-FFF2-40B4-BE49-F238E27FC236}">
              <a16:creationId xmlns:a16="http://schemas.microsoft.com/office/drawing/2014/main" id="{1242C34B-8F5E-C61F-1756-3016DF080921}"/>
            </a:ext>
          </a:extLst>
        </xdr:cNvPr>
        <xdr:cNvSpPr txBox="1"/>
      </xdr:nvSpPr>
      <xdr:spPr>
        <a:xfrm>
          <a:off x="3628867" y="1154548"/>
          <a:ext cx="816134" cy="147524"/>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solidFill>
                <a:schemeClr val="tx1"/>
              </a:solidFill>
              <a:latin typeface="Bahnschrift" panose="020B0502040204020203" pitchFamily="34" charset="0"/>
            </a:rPr>
            <a:t>Avg</a:t>
          </a:r>
          <a:r>
            <a:rPr lang="en-IN" sz="1000" b="1" baseline="0">
              <a:solidFill>
                <a:schemeClr val="tx1"/>
              </a:solidFill>
              <a:latin typeface="Bahnschrift" panose="020B0502040204020203" pitchFamily="34" charset="0"/>
            </a:rPr>
            <a:t> Wait Time</a:t>
          </a:r>
          <a:endParaRPr lang="en-IN" sz="1000" b="1">
            <a:solidFill>
              <a:schemeClr val="tx1"/>
            </a:solidFill>
            <a:latin typeface="Bahnschrift" panose="020B0502040204020203" pitchFamily="34" charset="0"/>
          </a:endParaRPr>
        </a:p>
      </xdr:txBody>
    </xdr:sp>
    <xdr:clientData/>
  </xdr:twoCellAnchor>
  <xdr:twoCellAnchor editAs="absolute">
    <xdr:from>
      <xdr:col>7</xdr:col>
      <xdr:colOff>588562</xdr:colOff>
      <xdr:row>6</xdr:row>
      <xdr:rowOff>25657</xdr:rowOff>
    </xdr:from>
    <xdr:to>
      <xdr:col>10</xdr:col>
      <xdr:colOff>115455</xdr:colOff>
      <xdr:row>7</xdr:row>
      <xdr:rowOff>12828</xdr:rowOff>
    </xdr:to>
    <xdr:sp macro="" textlink="">
      <xdr:nvSpPr>
        <xdr:cNvPr id="37" name="TextBox 36">
          <a:extLst>
            <a:ext uri="{FF2B5EF4-FFF2-40B4-BE49-F238E27FC236}">
              <a16:creationId xmlns:a16="http://schemas.microsoft.com/office/drawing/2014/main" id="{B7D30A04-F5A6-CCC6-BC44-93CE7D36A020}"/>
            </a:ext>
          </a:extLst>
        </xdr:cNvPr>
        <xdr:cNvSpPr txBox="1"/>
      </xdr:nvSpPr>
      <xdr:spPr>
        <a:xfrm>
          <a:off x="4853966" y="1141718"/>
          <a:ext cx="1354923" cy="173181"/>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solidFill>
                <a:schemeClr val="tx1"/>
              </a:solidFill>
              <a:latin typeface="Bahnschrift" panose="020B0502040204020203" pitchFamily="34" charset="0"/>
            </a:rPr>
            <a:t>Patient</a:t>
          </a:r>
          <a:r>
            <a:rPr lang="en-IN" sz="900" b="1" baseline="0">
              <a:solidFill>
                <a:schemeClr val="tx1"/>
              </a:solidFill>
              <a:latin typeface="Bahnschrift" panose="020B0502040204020203" pitchFamily="34" charset="0"/>
            </a:rPr>
            <a:t> Satisfaction Score</a:t>
          </a:r>
          <a:endParaRPr lang="en-IN" sz="900" b="1">
            <a:solidFill>
              <a:schemeClr val="tx1"/>
            </a:solidFill>
            <a:latin typeface="Bahnschrift" panose="020B0502040204020203" pitchFamily="34" charset="0"/>
          </a:endParaRPr>
        </a:p>
      </xdr:txBody>
    </xdr:sp>
    <xdr:clientData/>
  </xdr:twoCellAnchor>
  <xdr:twoCellAnchor editAs="oneCell">
    <xdr:from>
      <xdr:col>4</xdr:col>
      <xdr:colOff>339950</xdr:colOff>
      <xdr:row>4</xdr:row>
      <xdr:rowOff>89799</xdr:rowOff>
    </xdr:from>
    <xdr:to>
      <xdr:col>5</xdr:col>
      <xdr:colOff>96213</xdr:colOff>
      <xdr:row>6</xdr:row>
      <xdr:rowOff>83384</xdr:rowOff>
    </xdr:to>
    <xdr:pic>
      <xdr:nvPicPr>
        <xdr:cNvPr id="39" name="Graphic 38" descr="User with solid fill">
          <a:extLst>
            <a:ext uri="{FF2B5EF4-FFF2-40B4-BE49-F238E27FC236}">
              <a16:creationId xmlns:a16="http://schemas.microsoft.com/office/drawing/2014/main" id="{701BB982-958F-C628-EDBB-96F490FDE5E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77324" y="833839"/>
          <a:ext cx="365606" cy="365606"/>
        </a:xfrm>
        <a:prstGeom prst="rect">
          <a:avLst/>
        </a:prstGeom>
      </xdr:spPr>
    </xdr:pic>
    <xdr:clientData/>
  </xdr:twoCellAnchor>
  <xdr:twoCellAnchor editAs="oneCell">
    <xdr:from>
      <xdr:col>7</xdr:col>
      <xdr:colOff>141110</xdr:colOff>
      <xdr:row>4</xdr:row>
      <xdr:rowOff>153939</xdr:rowOff>
    </xdr:from>
    <xdr:to>
      <xdr:col>7</xdr:col>
      <xdr:colOff>423333</xdr:colOff>
      <xdr:row>6</xdr:row>
      <xdr:rowOff>64141</xdr:rowOff>
    </xdr:to>
    <xdr:pic>
      <xdr:nvPicPr>
        <xdr:cNvPr id="41" name="Graphic 40" descr="Hourglass Finished with solid fill">
          <a:extLst>
            <a:ext uri="{FF2B5EF4-FFF2-40B4-BE49-F238E27FC236}">
              <a16:creationId xmlns:a16="http://schemas.microsoft.com/office/drawing/2014/main" id="{4350FF64-2C62-A6C6-E235-094468AE473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06514" y="897979"/>
          <a:ext cx="282223" cy="282223"/>
        </a:xfrm>
        <a:prstGeom prst="rect">
          <a:avLst/>
        </a:prstGeom>
      </xdr:spPr>
    </xdr:pic>
    <xdr:clientData/>
  </xdr:twoCellAnchor>
  <xdr:twoCellAnchor editAs="oneCell">
    <xdr:from>
      <xdr:col>9</xdr:col>
      <xdr:colOff>525960</xdr:colOff>
      <xdr:row>4</xdr:row>
      <xdr:rowOff>147527</xdr:rowOff>
    </xdr:from>
    <xdr:to>
      <xdr:col>10</xdr:col>
      <xdr:colOff>141113</xdr:colOff>
      <xdr:row>6</xdr:row>
      <xdr:rowOff>2</xdr:rowOff>
    </xdr:to>
    <xdr:pic>
      <xdr:nvPicPr>
        <xdr:cNvPr id="43" name="Graphic 42" descr="Customer review with solid fill">
          <a:extLst>
            <a:ext uri="{FF2B5EF4-FFF2-40B4-BE49-F238E27FC236}">
              <a16:creationId xmlns:a16="http://schemas.microsoft.com/office/drawing/2014/main" id="{9E2B487F-65D9-8C96-1172-C6C159A78BA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10051" y="891567"/>
          <a:ext cx="224496" cy="224496"/>
        </a:xfrm>
        <a:prstGeom prst="rect">
          <a:avLst/>
        </a:prstGeom>
      </xdr:spPr>
    </xdr:pic>
    <xdr:clientData/>
  </xdr:twoCellAnchor>
  <xdr:twoCellAnchor editAs="oneCell">
    <xdr:from>
      <xdr:col>1</xdr:col>
      <xdr:colOff>107500</xdr:colOff>
      <xdr:row>4</xdr:row>
      <xdr:rowOff>141112</xdr:rowOff>
    </xdr:from>
    <xdr:to>
      <xdr:col>2</xdr:col>
      <xdr:colOff>269394</xdr:colOff>
      <xdr:row>19</xdr:row>
      <xdr:rowOff>134697</xdr:rowOff>
    </xdr:to>
    <mc:AlternateContent xmlns:mc="http://schemas.openxmlformats.org/markup-compatibility/2006" xmlns:a14="http://schemas.microsoft.com/office/drawing/2010/main">
      <mc:Choice Requires="a14">
        <xdr:graphicFrame macro="">
          <xdr:nvGraphicFramePr>
            <xdr:cNvPr id="44" name="Date (Month)">
              <a:extLst>
                <a:ext uri="{FF2B5EF4-FFF2-40B4-BE49-F238E27FC236}">
                  <a16:creationId xmlns:a16="http://schemas.microsoft.com/office/drawing/2014/main" id="{1379DB88-421C-4EEC-9853-C92F2562D7D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16843" y="885152"/>
              <a:ext cx="771238" cy="2783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577273</xdr:colOff>
      <xdr:row>7</xdr:row>
      <xdr:rowOff>38485</xdr:rowOff>
    </xdr:from>
    <xdr:to>
      <xdr:col>4</xdr:col>
      <xdr:colOff>596515</xdr:colOff>
      <xdr:row>9</xdr:row>
      <xdr:rowOff>121868</xdr:rowOff>
    </xdr:to>
    <xdr:graphicFrame macro="">
      <xdr:nvGraphicFramePr>
        <xdr:cNvPr id="45" name="Chart 44">
          <a:hlinkClick xmlns:r="http://schemas.openxmlformats.org/officeDocument/2006/relationships" r:id="rId8"/>
          <a:extLst>
            <a:ext uri="{FF2B5EF4-FFF2-40B4-BE49-F238E27FC236}">
              <a16:creationId xmlns:a16="http://schemas.microsoft.com/office/drawing/2014/main" id="{0078C01C-BA25-427B-B64B-5968D11F9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5</xdr:col>
      <xdr:colOff>163332</xdr:colOff>
      <xdr:row>6</xdr:row>
      <xdr:rowOff>153939</xdr:rowOff>
    </xdr:from>
    <xdr:to>
      <xdr:col>7</xdr:col>
      <xdr:colOff>359192</xdr:colOff>
      <xdr:row>10</xdr:row>
      <xdr:rowOff>53720</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3168B2FF-2F5C-43BA-91DB-4AF031145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7</xdr:col>
      <xdr:colOff>577273</xdr:colOff>
      <xdr:row>6</xdr:row>
      <xdr:rowOff>122984</xdr:rowOff>
    </xdr:from>
    <xdr:to>
      <xdr:col>10</xdr:col>
      <xdr:colOff>134697</xdr:colOff>
      <xdr:row>10</xdr:row>
      <xdr:rowOff>17119</xdr:rowOff>
    </xdr:to>
    <xdr:graphicFrame macro="">
      <xdr:nvGraphicFramePr>
        <xdr:cNvPr id="47" name="Chart 46">
          <a:hlinkClick xmlns:r="http://schemas.openxmlformats.org/officeDocument/2006/relationships" r:id="rId12"/>
          <a:extLst>
            <a:ext uri="{FF2B5EF4-FFF2-40B4-BE49-F238E27FC236}">
              <a16:creationId xmlns:a16="http://schemas.microsoft.com/office/drawing/2014/main" id="{5397DD06-0251-4E27-8BFC-541AB7851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481060</xdr:colOff>
          <xdr:row>10</xdr:row>
          <xdr:rowOff>38485</xdr:rowOff>
        </xdr:from>
        <xdr:to>
          <xdr:col>10</xdr:col>
          <xdr:colOff>96212</xdr:colOff>
          <xdr:row>13</xdr:row>
          <xdr:rowOff>40150</xdr:rowOff>
        </xdr:to>
        <xdr:pic>
          <xdr:nvPicPr>
            <xdr:cNvPr id="60" name="Picture 59">
              <a:extLst>
                <a:ext uri="{FF2B5EF4-FFF2-40B4-BE49-F238E27FC236}">
                  <a16:creationId xmlns:a16="http://schemas.microsoft.com/office/drawing/2014/main" id="{F94C2400-DCD7-9DCB-EC63-05083946E0D6}"/>
                </a:ext>
              </a:extLst>
            </xdr:cNvPr>
            <xdr:cNvPicPr>
              <a:picLocks noChangeAspect="1" noChangeArrowheads="1"/>
              <a:extLst>
                <a:ext uri="{84589F7E-364E-4C9E-8A38-B11213B215E9}">
                  <a14:cameraTool cellRange="'pivot report'!$A$54:$D$56" spid="_x0000_s2065"/>
                </a:ext>
              </a:extLst>
            </xdr:cNvPicPr>
          </xdr:nvPicPr>
          <xdr:blipFill>
            <a:blip xmlns:r="http://schemas.openxmlformats.org/officeDocument/2006/relationships" r:embed="rId14"/>
            <a:srcRect/>
            <a:stretch>
              <a:fillRect/>
            </a:stretch>
          </xdr:blipFill>
          <xdr:spPr bwMode="auto">
            <a:xfrm>
              <a:off x="1699747" y="1898586"/>
              <a:ext cx="4489899" cy="559695"/>
            </a:xfrm>
            <a:prstGeom prst="roundRect">
              <a:avLst>
                <a:gd name="adj" fmla="val 8594"/>
              </a:avLst>
            </a:prstGeom>
            <a:noFill/>
            <a:ln>
              <a:noFill/>
            </a:ln>
            <a:effectLst/>
          </xdr:spPr>
        </xdr:pic>
        <xdr:clientData/>
      </xdr:twoCellAnchor>
    </mc:Choice>
    <mc:Fallback/>
  </mc:AlternateContent>
  <xdr:twoCellAnchor>
    <xdr:from>
      <xdr:col>3</xdr:col>
      <xdr:colOff>36016</xdr:colOff>
      <xdr:row>13</xdr:row>
      <xdr:rowOff>109043</xdr:rowOff>
    </xdr:from>
    <xdr:to>
      <xdr:col>9</xdr:col>
      <xdr:colOff>339950</xdr:colOff>
      <xdr:row>18</xdr:row>
      <xdr:rowOff>153939</xdr:rowOff>
    </xdr:to>
    <xdr:graphicFrame macro="">
      <xdr:nvGraphicFramePr>
        <xdr:cNvPr id="61" name="Chart 60">
          <a:extLst>
            <a:ext uri="{FF2B5EF4-FFF2-40B4-BE49-F238E27FC236}">
              <a16:creationId xmlns:a16="http://schemas.microsoft.com/office/drawing/2014/main" id="{4C393FBD-14C6-4CE7-B34B-A184B266D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12828</xdr:colOff>
      <xdr:row>18</xdr:row>
      <xdr:rowOff>121870</xdr:rowOff>
    </xdr:from>
    <xdr:to>
      <xdr:col>8</xdr:col>
      <xdr:colOff>76970</xdr:colOff>
      <xdr:row>19</xdr:row>
      <xdr:rowOff>173183</xdr:rowOff>
    </xdr:to>
    <xdr:sp macro="" textlink="">
      <xdr:nvSpPr>
        <xdr:cNvPr id="2057" name="Text Box 9">
          <a:extLst>
            <a:ext uri="{FF2B5EF4-FFF2-40B4-BE49-F238E27FC236}">
              <a16:creationId xmlns:a16="http://schemas.microsoft.com/office/drawing/2014/main" id="{F8B4DA66-9C4C-774C-512C-06F30CE5AB11}"/>
            </a:ext>
          </a:extLst>
        </xdr:cNvPr>
        <xdr:cNvSpPr txBox="1">
          <a:spLocks noChangeArrowheads="1"/>
        </xdr:cNvSpPr>
      </xdr:nvSpPr>
      <xdr:spPr bwMode="auto">
        <a:xfrm>
          <a:off x="3059545" y="3470052"/>
          <a:ext cx="1892172" cy="237323"/>
        </a:xfrm>
        <a:prstGeom prst="rect">
          <a:avLst/>
        </a:prstGeom>
        <a:noFill/>
        <a:ln w="9525">
          <a:noFill/>
          <a:miter lim="800000"/>
          <a:headEnd/>
          <a:tailEnd/>
        </a:ln>
      </xdr:spPr>
      <xdr:txBody>
        <a:bodyPr vertOverflow="clip" wrap="square" lIns="36576" tIns="36576" rIns="0" bIns="0" anchor="t" upright="1"/>
        <a:lstStyle/>
        <a:p>
          <a:pPr algn="l" rtl="0">
            <a:defRPr sz="1000"/>
          </a:pPr>
          <a:r>
            <a:rPr lang="en-IN" sz="1100" b="0" i="0" u="none" strike="noStrike" baseline="0">
              <a:solidFill>
                <a:srgbClr val="000000"/>
              </a:solidFill>
              <a:latin typeface="Aptos Narrow"/>
            </a:rPr>
            <a:t>No of Patient by Age Group</a:t>
          </a:r>
        </a:p>
      </xdr:txBody>
    </xdr:sp>
    <xdr:clientData/>
  </xdr:twoCellAnchor>
  <xdr:twoCellAnchor editAs="absolute">
    <xdr:from>
      <xdr:col>10</xdr:col>
      <xdr:colOff>282222</xdr:colOff>
      <xdr:row>0</xdr:row>
      <xdr:rowOff>1</xdr:rowOff>
    </xdr:from>
    <xdr:to>
      <xdr:col>12</xdr:col>
      <xdr:colOff>602929</xdr:colOff>
      <xdr:row>7</xdr:row>
      <xdr:rowOff>51314</xdr:rowOff>
    </xdr:to>
    <xdr:graphicFrame macro="">
      <xdr:nvGraphicFramePr>
        <xdr:cNvPr id="62" name="Chart 61">
          <a:extLst>
            <a:ext uri="{FF2B5EF4-FFF2-40B4-BE49-F238E27FC236}">
              <a16:creationId xmlns:a16="http://schemas.microsoft.com/office/drawing/2014/main" id="{DF913032-663C-4183-98C6-20C8C38BF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288637</xdr:colOff>
      <xdr:row>6</xdr:row>
      <xdr:rowOff>141111</xdr:rowOff>
    </xdr:from>
    <xdr:to>
      <xdr:col>13</xdr:col>
      <xdr:colOff>19241</xdr:colOff>
      <xdr:row>8</xdr:row>
      <xdr:rowOff>32071</xdr:rowOff>
    </xdr:to>
    <xdr:sp macro="" textlink="">
      <xdr:nvSpPr>
        <xdr:cNvPr id="63" name="TextBox 62">
          <a:extLst>
            <a:ext uri="{FF2B5EF4-FFF2-40B4-BE49-F238E27FC236}">
              <a16:creationId xmlns:a16="http://schemas.microsoft.com/office/drawing/2014/main" id="{7E8C1D77-278C-B2E1-6F9B-85E50A3B7666}"/>
            </a:ext>
          </a:extLst>
        </xdr:cNvPr>
        <xdr:cNvSpPr txBox="1"/>
      </xdr:nvSpPr>
      <xdr:spPr>
        <a:xfrm>
          <a:off x="6382071" y="1257172"/>
          <a:ext cx="1558635" cy="262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Patient Attend Status</a:t>
          </a:r>
        </a:p>
      </xdr:txBody>
    </xdr:sp>
    <xdr:clientData/>
  </xdr:twoCellAnchor>
  <xdr:twoCellAnchor>
    <xdr:from>
      <xdr:col>13</xdr:col>
      <xdr:colOff>192425</xdr:colOff>
      <xdr:row>0</xdr:row>
      <xdr:rowOff>64142</xdr:rowOff>
    </xdr:from>
    <xdr:to>
      <xdr:col>16</xdr:col>
      <xdr:colOff>346364</xdr:colOff>
      <xdr:row>8</xdr:row>
      <xdr:rowOff>19242</xdr:rowOff>
    </xdr:to>
    <xdr:graphicFrame macro="">
      <xdr:nvGraphicFramePr>
        <xdr:cNvPr id="2048" name="Chart 2047">
          <a:extLst>
            <a:ext uri="{FF2B5EF4-FFF2-40B4-BE49-F238E27FC236}">
              <a16:creationId xmlns:a16="http://schemas.microsoft.com/office/drawing/2014/main" id="{699BFD0B-4F21-4D81-A69F-0DC282835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410505</xdr:colOff>
      <xdr:row>6</xdr:row>
      <xdr:rowOff>173182</xdr:rowOff>
    </xdr:from>
    <xdr:to>
      <xdr:col>16</xdr:col>
      <xdr:colOff>109040</xdr:colOff>
      <xdr:row>8</xdr:row>
      <xdr:rowOff>25656</xdr:rowOff>
    </xdr:to>
    <xdr:sp macro="" textlink="">
      <xdr:nvSpPr>
        <xdr:cNvPr id="2049" name="TextBox 2048">
          <a:extLst>
            <a:ext uri="{FF2B5EF4-FFF2-40B4-BE49-F238E27FC236}">
              <a16:creationId xmlns:a16="http://schemas.microsoft.com/office/drawing/2014/main" id="{BF4FF030-6C1F-A77C-85B4-E4D4A888D2F8}"/>
            </a:ext>
          </a:extLst>
        </xdr:cNvPr>
        <xdr:cNvSpPr txBox="1"/>
      </xdr:nvSpPr>
      <xdr:spPr>
        <a:xfrm>
          <a:off x="8331970" y="1289243"/>
          <a:ext cx="1526565" cy="224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100"/>
            <a:t>Gender</a:t>
          </a:r>
          <a:r>
            <a:rPr lang="en-IN" sz="1100" baseline="0"/>
            <a:t> Wise Analysis</a:t>
          </a:r>
          <a:endParaRPr lang="en-IN" sz="1100"/>
        </a:p>
      </xdr:txBody>
    </xdr:sp>
    <xdr:clientData/>
  </xdr:twoCellAnchor>
  <xdr:twoCellAnchor>
    <xdr:from>
      <xdr:col>10</xdr:col>
      <xdr:colOff>282222</xdr:colOff>
      <xdr:row>8</xdr:row>
      <xdr:rowOff>128282</xdr:rowOff>
    </xdr:from>
    <xdr:to>
      <xdr:col>16</xdr:col>
      <xdr:colOff>57726</xdr:colOff>
      <xdr:row>20</xdr:row>
      <xdr:rowOff>44898</xdr:rowOff>
    </xdr:to>
    <xdr:graphicFrame macro="">
      <xdr:nvGraphicFramePr>
        <xdr:cNvPr id="2050" name="Chart 2049">
          <a:extLst>
            <a:ext uri="{FF2B5EF4-FFF2-40B4-BE49-F238E27FC236}">
              <a16:creationId xmlns:a16="http://schemas.microsoft.com/office/drawing/2014/main" id="{1AA50E4E-E219-4D47-961B-5B6B1456A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468837</xdr:colOff>
      <xdr:row>1</xdr:row>
      <xdr:rowOff>12827</xdr:rowOff>
    </xdr:from>
    <xdr:to>
      <xdr:col>10</xdr:col>
      <xdr:colOff>141111</xdr:colOff>
      <xdr:row>4</xdr:row>
      <xdr:rowOff>19242</xdr:rowOff>
    </xdr:to>
    <mc:AlternateContent xmlns:mc="http://schemas.openxmlformats.org/markup-compatibility/2006" xmlns:a14="http://schemas.microsoft.com/office/drawing/2010/main">
      <mc:Choice Requires="a14">
        <xdr:graphicFrame macro="">
          <xdr:nvGraphicFramePr>
            <xdr:cNvPr id="2051" name="Date (Year)">
              <a:extLst>
                <a:ext uri="{FF2B5EF4-FFF2-40B4-BE49-F238E27FC236}">
                  <a16:creationId xmlns:a16="http://schemas.microsoft.com/office/drawing/2014/main" id="{D53FFF45-A13D-4789-A669-E047E60F63D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734241" y="198837"/>
              <a:ext cx="1500304" cy="564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0.15321</cdr:x>
      <cdr:y>0.93789</cdr:y>
    </cdr:from>
    <cdr:to>
      <cdr:x>0.88219</cdr:x>
      <cdr:y>1</cdr:y>
    </cdr:to>
    <cdr:sp macro="" textlink="">
      <cdr:nvSpPr>
        <cdr:cNvPr id="2" name="TextBox 1">
          <a:extLst xmlns:a="http://schemas.openxmlformats.org/drawingml/2006/main">
            <a:ext uri="{FF2B5EF4-FFF2-40B4-BE49-F238E27FC236}">
              <a16:creationId xmlns:a16="http://schemas.microsoft.com/office/drawing/2014/main" id="{2A992E1C-CEFA-3B5D-1B10-2B7C5682C85E}"/>
            </a:ext>
          </a:extLst>
        </cdr:cNvPr>
        <cdr:cNvSpPr txBox="1"/>
      </cdr:nvSpPr>
      <cdr:spPr>
        <a:xfrm xmlns:a="http://schemas.openxmlformats.org/drawingml/2006/main">
          <a:off x="533855" y="2020454"/>
          <a:ext cx="2540000" cy="1282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0.10841</cdr:x>
      <cdr:y>0.88657</cdr:y>
    </cdr:from>
    <cdr:to>
      <cdr:x>0.84112</cdr:x>
      <cdr:y>0.97313</cdr:y>
    </cdr:to>
    <cdr:sp macro="" textlink="">
      <cdr:nvSpPr>
        <cdr:cNvPr id="3" name="TextBox 2">
          <a:extLst xmlns:a="http://schemas.openxmlformats.org/drawingml/2006/main">
            <a:ext uri="{FF2B5EF4-FFF2-40B4-BE49-F238E27FC236}">
              <a16:creationId xmlns:a16="http://schemas.microsoft.com/office/drawing/2014/main" id="{00811971-DEF6-BB08-27A9-070AE7B03D59}"/>
            </a:ext>
          </a:extLst>
        </cdr:cNvPr>
        <cdr:cNvSpPr txBox="1"/>
      </cdr:nvSpPr>
      <cdr:spPr>
        <a:xfrm xmlns:a="http://schemas.openxmlformats.org/drawingml/2006/main">
          <a:off x="372021" y="1905001"/>
          <a:ext cx="2514343" cy="186010"/>
        </a:xfrm>
        <a:prstGeom xmlns:a="http://schemas.openxmlformats.org/drawingml/2006/main" prst="rect">
          <a:avLst/>
        </a:prstGeom>
      </cdr:spPr>
      <cdr:txBody>
        <a:bodyPr xmlns:a="http://schemas.openxmlformats.org/drawingml/2006/main" vertOverflow="clip" wrap="square" lIns="0" tIns="0" rIns="0" bIns="0" rtlCol="0"/>
        <a:lstStyle xmlns:a="http://schemas.openxmlformats.org/drawingml/2006/main"/>
        <a:p xmlns:a="http://schemas.openxmlformats.org/drawingml/2006/main">
          <a:pPr algn="ctr"/>
          <a:r>
            <a:rPr lang="en-IN" sz="1100"/>
            <a:t>No Of Patient by</a:t>
          </a:r>
          <a:r>
            <a:rPr lang="en-IN" sz="1100" baseline="0"/>
            <a:t> Department Referal</a:t>
          </a:r>
          <a:endParaRPr lang="en-IN" sz="11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406400</xdr:colOff>
      <xdr:row>1</xdr:row>
      <xdr:rowOff>76200</xdr:rowOff>
    </xdr:from>
    <xdr:to>
      <xdr:col>11</xdr:col>
      <xdr:colOff>215900</xdr:colOff>
      <xdr:row>14</xdr:row>
      <xdr:rowOff>107950</xdr:rowOff>
    </xdr:to>
    <xdr:graphicFrame macro="">
      <xdr:nvGraphicFramePr>
        <xdr:cNvPr id="2" name="Chart 1">
          <a:extLst>
            <a:ext uri="{FF2B5EF4-FFF2-40B4-BE49-F238E27FC236}">
              <a16:creationId xmlns:a16="http://schemas.microsoft.com/office/drawing/2014/main" id="{B1C6C049-F5A4-457B-8F91-009773B1B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1.69334E-7</cdr:x>
      <cdr:y>0</cdr:y>
    </cdr:from>
    <cdr:to>
      <cdr:x>0.06667</cdr:x>
      <cdr:y>0.16539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122B613-912C-4ABC-1124-3085DA95B66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0"/>
          <a:ext cx="393699" cy="40118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247650</xdr:colOff>
      <xdr:row>1</xdr:row>
      <xdr:rowOff>12700</xdr:rowOff>
    </xdr:from>
    <xdr:to>
      <xdr:col>11</xdr:col>
      <xdr:colOff>63500</xdr:colOff>
      <xdr:row>17</xdr:row>
      <xdr:rowOff>127000</xdr:rowOff>
    </xdr:to>
    <xdr:graphicFrame macro="">
      <xdr:nvGraphicFramePr>
        <xdr:cNvPr id="3" name="Chart 2">
          <a:extLst>
            <a:ext uri="{FF2B5EF4-FFF2-40B4-BE49-F238E27FC236}">
              <a16:creationId xmlns:a16="http://schemas.microsoft.com/office/drawing/2014/main" id="{80D53088-DCF6-4BBC-8A78-D64EE985B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0.09202</cdr:x>
      <cdr:y>0.15975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43083C3-C7B1-B4E0-2221-8B2E1B4BD78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0074" cy="48895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381000</xdr:colOff>
      <xdr:row>1</xdr:row>
      <xdr:rowOff>120650</xdr:rowOff>
    </xdr:from>
    <xdr:to>
      <xdr:col>10</xdr:col>
      <xdr:colOff>501650</xdr:colOff>
      <xdr:row>18</xdr:row>
      <xdr:rowOff>38100</xdr:rowOff>
    </xdr:to>
    <xdr:graphicFrame macro="">
      <xdr:nvGraphicFramePr>
        <xdr:cNvPr id="3" name="Chart 2">
          <a:extLst>
            <a:ext uri="{FF2B5EF4-FFF2-40B4-BE49-F238E27FC236}">
              <a16:creationId xmlns:a16="http://schemas.microsoft.com/office/drawing/2014/main" id="{F83DA867-2091-460E-BCCC-4C8EDF7AF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cdr:y>
    </cdr:from>
    <cdr:to>
      <cdr:x>0.09146</cdr:x>
      <cdr:y>0.19355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DFB46B0-15C4-FCEE-5427-54A45CCBDD5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71500" cy="5715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0902775" createdVersion="5" refreshedVersion="8" minRefreshableVersion="3" recordCount="0" supportSubquery="1" supportAdvancedDrill="1" xr:uid="{99BC71A9-886C-4979-AC13-34AC4C9AD273}">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113426" createdVersion="5" refreshedVersion="8" minRefreshableVersion="3" recordCount="0" supportSubquery="1" supportAdvancedDrill="1" xr:uid="{A7CB2D02-2360-4074-8F68-F32903EFB901}">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1365737" createdVersion="5" refreshedVersion="8" minRefreshableVersion="3" recordCount="0" supportSubquery="1" supportAdvancedDrill="1" xr:uid="{B22F16B3-876A-4B05-978B-2B7637412607}">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1481483" createdVersion="5" refreshedVersion="8" minRefreshableVersion="3" recordCount="0" supportSubquery="1" supportAdvancedDrill="1" xr:uid="{7589BF37-4A48-486B-BB26-F447A32C4C63}">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2060184" createdVersion="5" refreshedVersion="8" minRefreshableVersion="3" recordCount="0" supportSubquery="1" supportAdvancedDrill="1" xr:uid="{A0576F75-6E48-4449-AB6F-F95DDF5F886C}">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2523146" createdVersion="5" refreshedVersion="8" minRefreshableVersion="3" recordCount="0" supportSubquery="1" supportAdvancedDrill="1" xr:uid="{F53CEE2F-926F-4CA1-BD69-D1D5FE52162D}">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3101853" createdVersion="5" refreshedVersion="8" minRefreshableVersion="3" recordCount="0" supportSubquery="1" supportAdvancedDrill="1" xr:uid="{24B29C2C-4F18-407E-89CA-44EBFC3F4884}">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3564815" createdVersion="5" refreshedVersion="8" minRefreshableVersion="3" recordCount="0" supportSubquery="1" supportAdvancedDrill="1" xr:uid="{7B922883-E201-4C10-A711-0B6EB351007D}">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3912039" createdVersion="5" refreshedVersion="8" minRefreshableVersion="3" recordCount="0" supportSubquery="1" supportAdvancedDrill="1" xr:uid="{16DBC8CC-9200-41BF-BC01-9CBA50362388}">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time].[Patient Attend time]" caption="Patient Attend time" numFmtId="0" hierarchy="17" level="1">
      <sharedItems count="2">
        <s v="Delay"/>
        <s v="On 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4259262" createdVersion="5" refreshedVersion="8" minRefreshableVersion="3" recordCount="0" supportSubquery="1" supportAdvancedDrill="1" xr:uid="{7311DC1B-9F06-4E14-9C3E-AB7B4CEF6433}">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4606485" createdVersion="5" refreshedVersion="8" minRefreshableVersion="3" recordCount="0" supportSubquery="1" supportAdvancedDrill="1" xr:uid="{48764C55-3153-44CD-BFE8-E355BBFC643D}">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70085069447" createdVersion="5" refreshedVersion="8" minRefreshableVersion="3" recordCount="0" supportSubquery="1" supportAdvancedDrill="1" xr:uid="{198A39F7-339D-4B9F-92E5-48D4DBC46165}">
  <cacheSource type="external" connectionId="3"/>
  <cacheFields count="4">
    <cacheField name="[calender_table].[Date (Month)].[Date (Month)]" caption="Date (Month)" numFmtId="0" hierarchy="1" level="1">
      <sharedItems count="1">
        <s v="Jul"/>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3.665144907405" createdVersion="3" refreshedVersion="8" minRefreshableVersion="3" recordCount="0" supportSubquery="1" supportAdvancedDrill="1" xr:uid="{3603C613-DCD0-4472-B10A-7772A2B6E298}">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396366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47490B-575B-47BD-BE5A-30E9A1DABB6C}" name="PivotTable2" cacheId="3" applyNumberFormats="0" applyBorderFormats="0" applyFontFormats="0" applyPatternFormats="0" applyAlignmentFormats="0" applyWidthHeightFormats="1" dataCaption="Values" tag="33adbb65-fbd4-4fe5-8752-25fd54684a3f"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E01D36-2A9D-4E81-B70A-AC2BD01DDF5F}" name="PivotTable7" cacheId="7" applyNumberFormats="0" applyBorderFormats="0" applyFontFormats="0" applyPatternFormats="0" applyAlignmentFormats="0" applyWidthHeightFormats="1" dataCaption="Values" tag="43a81476-3771-44ee-af8d-ac1c1852015e" updatedVersion="8" minRefreshableVersion="3" subtotalHiddenItems="1" itemPrintTitles="1" createdVersion="5" indent="0" outline="1" outlineData="1" multipleFieldFilters="0" chartFormat="4">
  <location ref="C4:E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BEDA3C-498D-49B2-9D26-4F684FDB6751}" name="PivotTable13" cacheId="12" applyNumberFormats="0" applyBorderFormats="0" applyFontFormats="0" applyPatternFormats="0" applyAlignmentFormats="0" applyWidthHeightFormats="1" dataCaption="Values" tag="100c31ab-7f78-4c8f-8cb9-4242dadc6124" updatedVersion="8" minRefreshableVersion="3" subtotalHiddenItems="1" itemPrintTitles="1" createdVersion="5" indent="0" outline="1" outlineData="1" multipleFieldFilters="0" chartFormat="19">
  <location ref="J44:J4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B0A28-0AE9-4034-BBAB-14CA129B2F7A}" name="PivotTable12" cacheId="11" applyNumberFormats="0" applyBorderFormats="0" applyFontFormats="0" applyPatternFormats="0" applyAlignmentFormats="0" applyWidthHeightFormats="1" dataCaption="Values" tag="5e9acbd6-aa5f-44a8-8cf4-297009b07fc8" updatedVersion="8" minRefreshableVersion="3" subtotalHiddenItems="1" itemPrintTitles="1" createdVersion="5" indent="0" outline="1" outlineData="1" multipleFieldFilters="0" chartFormat="19">
  <location ref="J31:K4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chartFormats count="3">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5DC68A-DF07-489F-8F48-297CCFAD17A6}" name="PivotTable1" cacheId="2" applyNumberFormats="0" applyBorderFormats="0" applyFontFormats="0" applyPatternFormats="0" applyAlignmentFormats="0" applyWidthHeightFormats="1" dataCaption="Values" tag="3a2b809a-0ff5-498b-bcec-be29be0f55d5"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8B4A6A-8828-46EE-A327-028488BA34E6}" name="PivotTable6" cacheId="6" applyNumberFormats="0" applyBorderFormats="0" applyFontFormats="0" applyPatternFormats="0" applyAlignmentFormats="0" applyWidthHeightFormats="1" dataCaption="Values" tag="74d1a30e-58b8-438e-a00f-06da5516ad2e" updatedVersion="8" minRefreshableVersion="3" subtotalHiddenItems="1" itemPrintTitles="1" createdVersion="5" indent="0" outline="1" outlineData="1" multipleFieldFilters="0" chartFormat="12">
  <location ref="A17:B4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Date"/>
    <pivotHierarchy dragToData="1" caption="Distinct Count of D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2E19FE-16E2-425F-8F6F-17509A810C6A}" name="PivotTable11" cacheId="10" applyNumberFormats="0" applyBorderFormats="0" applyFontFormats="0" applyPatternFormats="0" applyAlignmentFormats="0" applyWidthHeightFormats="1" dataCaption="Values" tag="fbb80534-6cad-4d75-8dbc-6c4e883f4abe" updatedVersion="8" minRefreshableVersion="3" subtotalHiddenItems="1" itemPrintTitles="1" createdVersion="5" indent="0" outline="1" outlineData="1" multipleFieldFilters="0" chartFormat="15">
  <location ref="J25:K2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chartFormats count="5">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5600BD-5DCA-411C-BCFB-F988BB9CB93F}" name="PivotTable5" cacheId="5" applyNumberFormats="0" applyBorderFormats="0" applyFontFormats="0" applyPatternFormats="0" applyAlignmentFormats="0" applyWidthHeightFormats="1" dataCaption="Values" tag="3e3a54f9-d5c9-4eeb-84c3-c4b5e6dee01f" updatedVersion="8" minRefreshableVersion="3" subtotalHiddenItems="1" itemPrintTitles="1" createdVersion="5" indent="0" outline="1" outlineData="1" multipleFieldFilters="0" chartFormat="16">
  <location ref="G10:H41"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2"/>
  </dataFields>
  <formats count="1">
    <format dxfId="2">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Date"/>
    <pivotHierarchy dragToData="1" caption="Distinct Count of D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999D49-B662-4C45-A69F-897D855005FE}" name="PivotTable4" cacheId="1" applyNumberFormats="0" applyBorderFormats="0" applyFontFormats="0" applyPatternFormats="0" applyAlignmentFormats="0" applyWidthHeightFormats="1" dataCaption="Values" tag="f43beded-6228-44a6-9820-fb4e605623c8" updatedVersion="8" minRefreshableVersion="3" subtotalHiddenItems="1" itemPrintTitles="1" createdVersion="5" indent="0" outline="1" outlineData="1" multipleFieldFilters="0" chartFormat="7">
  <location ref="D10:E41"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1" subtotal="count" baseField="0" baseItem="0"/>
  </dataFields>
  <formats count="1">
    <format dxfId="3">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Count of Date"/>
    <pivotHierarchy dragToData="1" caption="Distinct Count of D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968B1D-555B-4F0F-A012-688F2B1383C5}" name="PivotTable10" cacheId="9" applyNumberFormats="0" applyBorderFormats="0" applyFontFormats="0" applyPatternFormats="0" applyAlignmentFormats="0" applyWidthHeightFormats="1" dataCaption="Values" tag="145730f5-a00f-4e1a-9603-6091bc52e8a7" updatedVersion="8" minRefreshableVersion="3" subtotalHiddenItems="1" itemPrintTitles="1" createdVersion="5" indent="0" outline="1" outlineData="1" multipleFieldFilters="0" chartFormat="11">
  <location ref="J19:K2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443830-5AAA-4426-8A6D-F8A3240654E2}" name="PivotTable3" cacheId="4" applyNumberFormats="0" applyBorderFormats="0" applyFontFormats="0" applyPatternFormats="0" applyAlignmentFormats="0" applyWidthHeightFormats="1" dataCaption="Values" tag="2deb5c16-0500-4607-b26d-5340e91ea18f"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
      <pivotArea outline="0" collapsedLevelsAreSubtotals="1" fieldPosition="0"/>
    </format>
  </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759A13-EC7B-4768-9FF3-838B46859101}" name="PivotTable9" cacheId="8" applyNumberFormats="0" applyBorderFormats="0" applyFontFormats="0" applyPatternFormats="0" applyAlignmentFormats="0" applyWidthHeightFormats="1" dataCaption="Values" tag="73531428-1fdc-4b21-8d73-75f625d64da7" updatedVersion="8" minRefreshableVersion="3" subtotalHiddenItems="1" itemPrintTitles="1" createdVersion="5" indent="0" outline="1" outlineData="1" multipleFieldFilters="0" chartFormat="7">
  <location ref="J5:K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6B727CD-2182-43B2-BF33-40A68A8D16BA}"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2"/>
    <pivotTable tabId="1" name="PivotTable13"/>
  </pivotTables>
  <data>
    <olap pivotCacheId="1639636639">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DA919B3-0F9F-40FB-BA87-701A8FE0D7CD}"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63963663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03C6285-1EA1-4906-BD00-0B03C11F8E4B}" cache="Slicer_Date__Month" caption="Date (Month)" showCaption="0" level="1" rowHeight="180000"/>
  <slicer name="Date (Year)" xr10:uid="{E5FA7356-5E92-449A-B319-9D9764A0EC55}" cache="Slicer_Date__Year" caption="Date (Year)" columnCount="2" showCaption="0" level="1"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60DB4-77BC-4667-A373-D8D9D03730D3}">
  <dimension ref="A2:K56"/>
  <sheetViews>
    <sheetView topLeftCell="G37" workbookViewId="0">
      <selection activeCell="J44" sqref="J44"/>
    </sheetView>
  </sheetViews>
  <sheetFormatPr defaultRowHeight="14.5" x14ac:dyDescent="0.35"/>
  <cols>
    <col min="1" max="1" width="14.7265625" customWidth="1"/>
    <col min="2" max="2" width="8.6328125" customWidth="1"/>
    <col min="3" max="3" width="11.90625" customWidth="1"/>
    <col min="4" max="4" width="20.90625" customWidth="1"/>
    <col min="5" max="5" width="28.6328125" bestFit="1" customWidth="1"/>
    <col min="7" max="7" width="12.453125" bestFit="1" customWidth="1"/>
    <col min="8" max="8" width="24" bestFit="1" customWidth="1"/>
    <col min="10" max="10" width="14.81640625" bestFit="1" customWidth="1"/>
    <col min="11" max="11" width="27.6328125" bestFit="1" customWidth="1"/>
    <col min="12" max="12" width="28.6328125" bestFit="1" customWidth="1"/>
  </cols>
  <sheetData>
    <row r="2" spans="1:11" x14ac:dyDescent="0.35">
      <c r="A2" t="s">
        <v>2</v>
      </c>
    </row>
    <row r="3" spans="1:11" x14ac:dyDescent="0.35">
      <c r="A3" t="s">
        <v>1</v>
      </c>
    </row>
    <row r="4" spans="1:11" x14ac:dyDescent="0.35">
      <c r="A4" s="1">
        <v>506</v>
      </c>
      <c r="C4" s="2" t="s">
        <v>7</v>
      </c>
      <c r="D4" t="s">
        <v>44</v>
      </c>
      <c r="E4" t="s">
        <v>45</v>
      </c>
      <c r="J4" t="s">
        <v>58</v>
      </c>
    </row>
    <row r="5" spans="1:11" x14ac:dyDescent="0.35">
      <c r="C5" s="5" t="s">
        <v>42</v>
      </c>
      <c r="D5" s="1">
        <v>252</v>
      </c>
      <c r="E5" s="6">
        <v>0.49802371541501977</v>
      </c>
      <c r="J5" s="2" t="s">
        <v>7</v>
      </c>
      <c r="K5" t="s">
        <v>49</v>
      </c>
    </row>
    <row r="6" spans="1:11" x14ac:dyDescent="0.35">
      <c r="C6" s="5" t="s">
        <v>43</v>
      </c>
      <c r="D6" s="1">
        <v>254</v>
      </c>
      <c r="E6" s="6">
        <v>0.50197628458498023</v>
      </c>
      <c r="J6" s="5" t="s">
        <v>50</v>
      </c>
      <c r="K6" s="1">
        <v>54</v>
      </c>
    </row>
    <row r="7" spans="1:11" x14ac:dyDescent="0.35">
      <c r="C7" s="5" t="s">
        <v>5</v>
      </c>
      <c r="D7" s="1">
        <v>506</v>
      </c>
      <c r="E7" s="6">
        <v>1</v>
      </c>
      <c r="J7" s="5" t="s">
        <v>51</v>
      </c>
      <c r="K7" s="1">
        <v>72</v>
      </c>
    </row>
    <row r="8" spans="1:11" x14ac:dyDescent="0.35">
      <c r="J8" s="5" t="s">
        <v>52</v>
      </c>
      <c r="K8" s="1">
        <v>75</v>
      </c>
    </row>
    <row r="9" spans="1:11" x14ac:dyDescent="0.35">
      <c r="A9" t="s">
        <v>3</v>
      </c>
      <c r="D9" t="s">
        <v>38</v>
      </c>
      <c r="E9" t="s">
        <v>39</v>
      </c>
      <c r="G9" t="s">
        <v>40</v>
      </c>
      <c r="J9" s="5" t="s">
        <v>53</v>
      </c>
      <c r="K9" s="1">
        <v>62</v>
      </c>
    </row>
    <row r="10" spans="1:11" x14ac:dyDescent="0.35">
      <c r="A10" s="3">
        <v>35.581027667984188</v>
      </c>
      <c r="D10" s="2" t="s">
        <v>7</v>
      </c>
      <c r="E10" t="s">
        <v>0</v>
      </c>
      <c r="G10" s="2" t="s">
        <v>7</v>
      </c>
      <c r="H10" t="s">
        <v>3</v>
      </c>
      <c r="J10" s="5" t="s">
        <v>54</v>
      </c>
      <c r="K10" s="1">
        <v>63</v>
      </c>
    </row>
    <row r="11" spans="1:11" x14ac:dyDescent="0.35">
      <c r="D11" s="5" t="s">
        <v>8</v>
      </c>
      <c r="E11" s="3">
        <v>26</v>
      </c>
      <c r="G11" s="5" t="s">
        <v>8</v>
      </c>
      <c r="H11" s="3">
        <v>34.884615384615387</v>
      </c>
      <c r="J11" s="5" t="s">
        <v>55</v>
      </c>
      <c r="K11" s="1">
        <v>49</v>
      </c>
    </row>
    <row r="12" spans="1:11" x14ac:dyDescent="0.35">
      <c r="D12" s="5" t="s">
        <v>9</v>
      </c>
      <c r="E12" s="3">
        <v>17</v>
      </c>
      <c r="G12" s="5" t="s">
        <v>9</v>
      </c>
      <c r="H12" s="3">
        <v>34.941176470588232</v>
      </c>
      <c r="J12" s="5" t="s">
        <v>56</v>
      </c>
      <c r="K12" s="1">
        <v>74</v>
      </c>
    </row>
    <row r="13" spans="1:11" x14ac:dyDescent="0.35">
      <c r="A13" t="s">
        <v>4</v>
      </c>
      <c r="D13" s="5" t="s">
        <v>10</v>
      </c>
      <c r="E13" s="3">
        <v>19</v>
      </c>
      <c r="G13" s="5" t="s">
        <v>10</v>
      </c>
      <c r="H13" s="3">
        <v>32.736842105263158</v>
      </c>
      <c r="J13" s="5" t="s">
        <v>57</v>
      </c>
      <c r="K13" s="1">
        <v>57</v>
      </c>
    </row>
    <row r="14" spans="1:11" x14ac:dyDescent="0.35">
      <c r="A14" s="3">
        <v>5.1818181818181817</v>
      </c>
      <c r="D14" s="5" t="s">
        <v>11</v>
      </c>
      <c r="E14" s="3">
        <v>17</v>
      </c>
      <c r="G14" s="5" t="s">
        <v>11</v>
      </c>
      <c r="H14" s="3">
        <v>34.411764705882355</v>
      </c>
      <c r="J14" s="5" t="s">
        <v>5</v>
      </c>
      <c r="K14" s="1">
        <v>506</v>
      </c>
    </row>
    <row r="15" spans="1:11" x14ac:dyDescent="0.35">
      <c r="D15" s="5" t="s">
        <v>12</v>
      </c>
      <c r="E15" s="3">
        <v>18</v>
      </c>
      <c r="G15" s="5" t="s">
        <v>12</v>
      </c>
      <c r="H15" s="3">
        <v>34.388888888888886</v>
      </c>
    </row>
    <row r="16" spans="1:11" x14ac:dyDescent="0.35">
      <c r="A16" t="s">
        <v>41</v>
      </c>
      <c r="D16" s="5" t="s">
        <v>13</v>
      </c>
      <c r="E16" s="3">
        <v>17</v>
      </c>
      <c r="G16" s="5" t="s">
        <v>13</v>
      </c>
      <c r="H16" s="3">
        <v>33.294117647058826</v>
      </c>
    </row>
    <row r="17" spans="1:11" x14ac:dyDescent="0.35">
      <c r="A17" s="2" t="s">
        <v>7</v>
      </c>
      <c r="B17" t="s">
        <v>4</v>
      </c>
      <c r="D17" s="5" t="s">
        <v>14</v>
      </c>
      <c r="E17" s="3">
        <v>17</v>
      </c>
      <c r="G17" s="5" t="s">
        <v>14</v>
      </c>
      <c r="H17" s="3">
        <v>35</v>
      </c>
    </row>
    <row r="18" spans="1:11" x14ac:dyDescent="0.35">
      <c r="A18" s="5" t="s">
        <v>8</v>
      </c>
      <c r="B18" s="3">
        <v>4.8</v>
      </c>
      <c r="D18" s="5" t="s">
        <v>15</v>
      </c>
      <c r="E18" s="3">
        <v>19</v>
      </c>
      <c r="G18" s="5" t="s">
        <v>15</v>
      </c>
      <c r="H18" s="3">
        <v>36.736842105263158</v>
      </c>
    </row>
    <row r="19" spans="1:11" x14ac:dyDescent="0.35">
      <c r="A19" s="5" t="s">
        <v>9</v>
      </c>
      <c r="B19" s="3">
        <v>5.333333333333333</v>
      </c>
      <c r="D19" s="5" t="s">
        <v>16</v>
      </c>
      <c r="E19" s="3">
        <v>19</v>
      </c>
      <c r="G19" s="5" t="s">
        <v>16</v>
      </c>
      <c r="H19" s="3">
        <v>37.368421052631582</v>
      </c>
      <c r="J19" s="2" t="s">
        <v>7</v>
      </c>
      <c r="K19" t="s">
        <v>0</v>
      </c>
    </row>
    <row r="20" spans="1:11" x14ac:dyDescent="0.35">
      <c r="A20" s="5" t="s">
        <v>10</v>
      </c>
      <c r="B20" s="3">
        <v>6.666666666666667</v>
      </c>
      <c r="D20" s="5" t="s">
        <v>17</v>
      </c>
      <c r="E20" s="3">
        <v>14</v>
      </c>
      <c r="G20" s="5" t="s">
        <v>17</v>
      </c>
      <c r="H20" s="3">
        <v>31.428571428571427</v>
      </c>
      <c r="J20" s="5" t="s">
        <v>59</v>
      </c>
      <c r="K20" s="1">
        <v>311</v>
      </c>
    </row>
    <row r="21" spans="1:11" x14ac:dyDescent="0.35">
      <c r="A21" s="5" t="s">
        <v>11</v>
      </c>
      <c r="B21" s="3">
        <v>4.5555555555555554</v>
      </c>
      <c r="D21" s="5" t="s">
        <v>18</v>
      </c>
      <c r="E21" s="3">
        <v>17</v>
      </c>
      <c r="G21" s="5" t="s">
        <v>18</v>
      </c>
      <c r="H21" s="3">
        <v>45.470588235294116</v>
      </c>
      <c r="J21" s="5" t="s">
        <v>60</v>
      </c>
      <c r="K21" s="1">
        <v>195</v>
      </c>
    </row>
    <row r="22" spans="1:11" x14ac:dyDescent="0.35">
      <c r="A22" s="5" t="s">
        <v>12</v>
      </c>
      <c r="B22" s="3">
        <v>4.333333333333333</v>
      </c>
      <c r="D22" s="5" t="s">
        <v>19</v>
      </c>
      <c r="E22" s="3">
        <v>20</v>
      </c>
      <c r="G22" s="5" t="s">
        <v>19</v>
      </c>
      <c r="H22" s="3">
        <v>32.549999999999997</v>
      </c>
      <c r="J22" s="5" t="s">
        <v>5</v>
      </c>
      <c r="K22" s="1">
        <v>506</v>
      </c>
    </row>
    <row r="23" spans="1:11" x14ac:dyDescent="0.35">
      <c r="A23" s="5" t="s">
        <v>13</v>
      </c>
      <c r="B23" s="3">
        <v>7.333333333333333</v>
      </c>
      <c r="D23" s="5" t="s">
        <v>20</v>
      </c>
      <c r="E23" s="3">
        <v>13</v>
      </c>
      <c r="G23" s="5" t="s">
        <v>20</v>
      </c>
      <c r="H23" s="3">
        <v>39.615384615384613</v>
      </c>
    </row>
    <row r="24" spans="1:11" x14ac:dyDescent="0.35">
      <c r="A24" s="5" t="s">
        <v>14</v>
      </c>
      <c r="B24" s="3">
        <v>5.25</v>
      </c>
      <c r="D24" s="5" t="s">
        <v>21</v>
      </c>
      <c r="E24" s="3">
        <v>14</v>
      </c>
      <c r="G24" s="5" t="s">
        <v>21</v>
      </c>
      <c r="H24" s="3">
        <v>36</v>
      </c>
    </row>
    <row r="25" spans="1:11" x14ac:dyDescent="0.35">
      <c r="A25" s="5" t="s">
        <v>15</v>
      </c>
      <c r="B25" s="3">
        <v>6.333333333333333</v>
      </c>
      <c r="D25" s="5" t="s">
        <v>22</v>
      </c>
      <c r="E25" s="3">
        <v>15</v>
      </c>
      <c r="G25" s="5" t="s">
        <v>22</v>
      </c>
      <c r="H25" s="3">
        <v>31.6</v>
      </c>
      <c r="J25" s="2" t="s">
        <v>7</v>
      </c>
      <c r="K25" t="s">
        <v>0</v>
      </c>
    </row>
    <row r="26" spans="1:11" x14ac:dyDescent="0.35">
      <c r="A26" s="5" t="s">
        <v>16</v>
      </c>
      <c r="B26" s="3">
        <v>5.7142857142857144</v>
      </c>
      <c r="D26" s="5" t="s">
        <v>23</v>
      </c>
      <c r="E26" s="3">
        <v>13</v>
      </c>
      <c r="G26" s="5" t="s">
        <v>23</v>
      </c>
      <c r="H26" s="3">
        <v>33.846153846153847</v>
      </c>
      <c r="J26" s="5" t="s">
        <v>61</v>
      </c>
      <c r="K26" s="1">
        <v>233</v>
      </c>
    </row>
    <row r="27" spans="1:11" x14ac:dyDescent="0.35">
      <c r="A27" s="5" t="s">
        <v>17</v>
      </c>
      <c r="B27" s="3">
        <v>5</v>
      </c>
      <c r="D27" s="5" t="s">
        <v>24</v>
      </c>
      <c r="E27" s="3">
        <v>15</v>
      </c>
      <c r="G27" s="5" t="s">
        <v>24</v>
      </c>
      <c r="H27" s="3">
        <v>31.8</v>
      </c>
      <c r="J27" s="5" t="s">
        <v>62</v>
      </c>
      <c r="K27" s="1">
        <v>273</v>
      </c>
    </row>
    <row r="28" spans="1:11" x14ac:dyDescent="0.35">
      <c r="A28" s="5" t="s">
        <v>18</v>
      </c>
      <c r="B28" s="3">
        <v>6.166666666666667</v>
      </c>
      <c r="D28" s="5" t="s">
        <v>25</v>
      </c>
      <c r="E28" s="3">
        <v>17</v>
      </c>
      <c r="G28" s="5" t="s">
        <v>25</v>
      </c>
      <c r="H28" s="3">
        <v>36</v>
      </c>
      <c r="J28" s="5" t="s">
        <v>5</v>
      </c>
      <c r="K28" s="1">
        <v>506</v>
      </c>
    </row>
    <row r="29" spans="1:11" x14ac:dyDescent="0.35">
      <c r="A29" s="5" t="s">
        <v>19</v>
      </c>
      <c r="B29" s="3">
        <v>3</v>
      </c>
      <c r="D29" s="5" t="s">
        <v>26</v>
      </c>
      <c r="E29" s="3">
        <v>10</v>
      </c>
      <c r="G29" s="5" t="s">
        <v>26</v>
      </c>
      <c r="H29" s="3">
        <v>29.8</v>
      </c>
    </row>
    <row r="30" spans="1:11" x14ac:dyDescent="0.35">
      <c r="A30" s="5" t="s">
        <v>20</v>
      </c>
      <c r="B30" s="3">
        <v>4.5</v>
      </c>
      <c r="D30" s="5" t="s">
        <v>27</v>
      </c>
      <c r="E30" s="3">
        <v>13</v>
      </c>
      <c r="G30" s="5" t="s">
        <v>27</v>
      </c>
      <c r="H30" s="3">
        <v>41.307692307692307</v>
      </c>
    </row>
    <row r="31" spans="1:11" x14ac:dyDescent="0.35">
      <c r="A31" s="5" t="s">
        <v>21</v>
      </c>
      <c r="B31" s="3">
        <v>4.666666666666667</v>
      </c>
      <c r="D31" s="5" t="s">
        <v>28</v>
      </c>
      <c r="E31" s="3">
        <v>17</v>
      </c>
      <c r="G31" s="5" t="s">
        <v>28</v>
      </c>
      <c r="H31" s="3">
        <v>29.764705882352942</v>
      </c>
      <c r="J31" s="2" t="s">
        <v>7</v>
      </c>
      <c r="K31" t="s">
        <v>71</v>
      </c>
    </row>
    <row r="32" spans="1:11" x14ac:dyDescent="0.35">
      <c r="A32" s="5" t="s">
        <v>22</v>
      </c>
      <c r="B32" s="3">
        <v>9</v>
      </c>
      <c r="D32" s="5" t="s">
        <v>29</v>
      </c>
      <c r="E32" s="3">
        <v>26</v>
      </c>
      <c r="G32" s="5" t="s">
        <v>29</v>
      </c>
      <c r="H32" s="3">
        <v>37.92307692307692</v>
      </c>
      <c r="J32" s="5" t="s">
        <v>70</v>
      </c>
      <c r="K32" s="1">
        <v>2</v>
      </c>
    </row>
    <row r="33" spans="1:11" x14ac:dyDescent="0.35">
      <c r="A33" s="5" t="s">
        <v>23</v>
      </c>
      <c r="B33" s="3">
        <v>1.5</v>
      </c>
      <c r="D33" s="5" t="s">
        <v>30</v>
      </c>
      <c r="E33" s="3">
        <v>8</v>
      </c>
      <c r="G33" s="5" t="s">
        <v>30</v>
      </c>
      <c r="H33" s="3">
        <v>38.625</v>
      </c>
      <c r="J33" s="5" t="s">
        <v>64</v>
      </c>
      <c r="K33" s="1">
        <v>11</v>
      </c>
    </row>
    <row r="34" spans="1:11" x14ac:dyDescent="0.35">
      <c r="A34" s="5" t="s">
        <v>24</v>
      </c>
      <c r="B34" s="3">
        <v>6.8</v>
      </c>
      <c r="D34" s="5" t="s">
        <v>31</v>
      </c>
      <c r="E34" s="3">
        <v>17</v>
      </c>
      <c r="G34" s="5" t="s">
        <v>31</v>
      </c>
      <c r="H34" s="3">
        <v>41.470588235294116</v>
      </c>
      <c r="J34" s="5" t="s">
        <v>63</v>
      </c>
      <c r="K34" s="1">
        <v>12</v>
      </c>
    </row>
    <row r="35" spans="1:11" x14ac:dyDescent="0.35">
      <c r="A35" s="5" t="s">
        <v>25</v>
      </c>
      <c r="B35" s="3">
        <v>4.625</v>
      </c>
      <c r="D35" s="5" t="s">
        <v>32</v>
      </c>
      <c r="E35" s="3">
        <v>18</v>
      </c>
      <c r="G35" s="5" t="s">
        <v>32</v>
      </c>
      <c r="H35" s="3">
        <v>39.5</v>
      </c>
      <c r="J35" s="5" t="s">
        <v>66</v>
      </c>
      <c r="K35" s="1">
        <v>15</v>
      </c>
    </row>
    <row r="36" spans="1:11" x14ac:dyDescent="0.35">
      <c r="A36" s="5" t="s">
        <v>26</v>
      </c>
      <c r="B36" s="3">
        <v>4.333333333333333</v>
      </c>
      <c r="D36" s="5" t="s">
        <v>33</v>
      </c>
      <c r="E36" s="3">
        <v>19</v>
      </c>
      <c r="G36" s="5" t="s">
        <v>33</v>
      </c>
      <c r="H36" s="3">
        <v>29.736842105263158</v>
      </c>
      <c r="J36" s="5" t="s">
        <v>69</v>
      </c>
      <c r="K36" s="1">
        <v>18</v>
      </c>
    </row>
    <row r="37" spans="1:11" x14ac:dyDescent="0.35">
      <c r="A37" s="5" t="s">
        <v>27</v>
      </c>
      <c r="B37" s="3">
        <v>1.3333333333333333</v>
      </c>
      <c r="D37" s="5" t="s">
        <v>34</v>
      </c>
      <c r="E37" s="3">
        <v>20</v>
      </c>
      <c r="G37" s="5" t="s">
        <v>34</v>
      </c>
      <c r="H37" s="3">
        <v>37.75</v>
      </c>
      <c r="J37" s="5" t="s">
        <v>68</v>
      </c>
      <c r="K37" s="1">
        <v>60</v>
      </c>
    </row>
    <row r="38" spans="1:11" x14ac:dyDescent="0.35">
      <c r="A38" s="5" t="s">
        <v>28</v>
      </c>
      <c r="B38" s="3">
        <v>5</v>
      </c>
      <c r="D38" s="5" t="s">
        <v>35</v>
      </c>
      <c r="E38" s="3">
        <v>23</v>
      </c>
      <c r="G38" s="5" t="s">
        <v>35</v>
      </c>
      <c r="H38" s="3">
        <v>37.782608695652172</v>
      </c>
      <c r="J38" s="5" t="s">
        <v>65</v>
      </c>
      <c r="K38" s="1">
        <v>83</v>
      </c>
    </row>
    <row r="39" spans="1:11" x14ac:dyDescent="0.35">
      <c r="A39" s="5" t="s">
        <v>29</v>
      </c>
      <c r="B39" s="3">
        <v>3.1666666666666665</v>
      </c>
      <c r="D39" s="5" t="s">
        <v>36</v>
      </c>
      <c r="E39" s="3">
        <v>16</v>
      </c>
      <c r="G39" s="5" t="s">
        <v>36</v>
      </c>
      <c r="H39" s="3">
        <v>34.1875</v>
      </c>
      <c r="J39" s="5" t="s">
        <v>67</v>
      </c>
      <c r="K39" s="1">
        <v>305</v>
      </c>
    </row>
    <row r="40" spans="1:11" x14ac:dyDescent="0.35">
      <c r="A40" s="5" t="s">
        <v>30</v>
      </c>
      <c r="B40" s="3">
        <v>7.5</v>
      </c>
      <c r="D40" s="5" t="s">
        <v>37</v>
      </c>
      <c r="E40" s="3">
        <v>12</v>
      </c>
      <c r="G40" s="5" t="s">
        <v>37</v>
      </c>
      <c r="H40" s="3">
        <v>36.166666666666664</v>
      </c>
      <c r="J40" s="5" t="s">
        <v>5</v>
      </c>
      <c r="K40" s="1">
        <v>506</v>
      </c>
    </row>
    <row r="41" spans="1:11" x14ac:dyDescent="0.35">
      <c r="A41" s="5" t="s">
        <v>31</v>
      </c>
      <c r="B41" s="3">
        <v>4.2</v>
      </c>
      <c r="D41" s="5" t="s">
        <v>5</v>
      </c>
      <c r="E41" s="3">
        <v>506</v>
      </c>
      <c r="G41" s="5" t="s">
        <v>5</v>
      </c>
      <c r="H41" s="3">
        <v>35.581027667984188</v>
      </c>
    </row>
    <row r="42" spans="1:11" x14ac:dyDescent="0.35">
      <c r="A42" s="5" t="s">
        <v>32</v>
      </c>
      <c r="B42" s="3">
        <v>4.625</v>
      </c>
    </row>
    <row r="43" spans="1:11" x14ac:dyDescent="0.35">
      <c r="A43" s="5" t="s">
        <v>33</v>
      </c>
      <c r="B43" s="3">
        <v>9.6666666666666661</v>
      </c>
    </row>
    <row r="44" spans="1:11" x14ac:dyDescent="0.35">
      <c r="A44" s="5" t="s">
        <v>34</v>
      </c>
      <c r="B44" s="3">
        <v>6.125</v>
      </c>
      <c r="J44" s="2" t="s">
        <v>7</v>
      </c>
    </row>
    <row r="45" spans="1:11" x14ac:dyDescent="0.35">
      <c r="A45" s="5" t="s">
        <v>35</v>
      </c>
      <c r="B45" s="3">
        <v>5.5555555555555554</v>
      </c>
      <c r="J45" s="5" t="s">
        <v>6</v>
      </c>
    </row>
    <row r="46" spans="1:11" x14ac:dyDescent="0.35">
      <c r="A46" s="5" t="s">
        <v>36</v>
      </c>
      <c r="B46" s="3">
        <v>6.333333333333333</v>
      </c>
      <c r="J46" s="5" t="s">
        <v>5</v>
      </c>
    </row>
    <row r="47" spans="1:11" x14ac:dyDescent="0.35">
      <c r="A47" s="5" t="s">
        <v>37</v>
      </c>
      <c r="B47" s="3">
        <v>5.333333333333333</v>
      </c>
    </row>
    <row r="48" spans="1:11" x14ac:dyDescent="0.35">
      <c r="A48" s="5" t="s">
        <v>5</v>
      </c>
      <c r="B48" s="3">
        <v>5.1818181818181817</v>
      </c>
    </row>
    <row r="54" spans="1:4" x14ac:dyDescent="0.35">
      <c r="A54" s="8" t="s">
        <v>47</v>
      </c>
      <c r="B54" s="8" t="s">
        <v>48</v>
      </c>
      <c r="C54" s="8" t="s">
        <v>46</v>
      </c>
      <c r="D54" s="7"/>
    </row>
    <row r="55" spans="1:4" ht="13.5" customHeight="1" x14ac:dyDescent="0.35">
      <c r="A55" s="9" t="str">
        <f>C6</f>
        <v>Not Admitted</v>
      </c>
      <c r="B55" s="9">
        <f>D6</f>
        <v>254</v>
      </c>
      <c r="C55" s="10">
        <f>E6</f>
        <v>0.50197628458498023</v>
      </c>
      <c r="D55" s="11"/>
    </row>
    <row r="56" spans="1:4" ht="11.5" customHeight="1" x14ac:dyDescent="0.35">
      <c r="A56" s="9" t="str">
        <f>C5</f>
        <v>Admitted</v>
      </c>
      <c r="B56" s="9">
        <f>D5</f>
        <v>252</v>
      </c>
      <c r="C56" s="10">
        <f>E5</f>
        <v>0.49802371541501977</v>
      </c>
      <c r="D56" s="11"/>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F330-AA11-487C-A3CA-8E523013BB4D}">
  <dimension ref="B1:R26"/>
  <sheetViews>
    <sheetView tabSelected="1" zoomScale="99" zoomScaleNormal="99" workbookViewId="0"/>
  </sheetViews>
  <sheetFormatPr defaultRowHeight="14.5" x14ac:dyDescent="0.35"/>
  <sheetData>
    <row r="1" spans="2:18" x14ac:dyDescent="0.35">
      <c r="B1" s="4"/>
      <c r="C1" s="4"/>
      <c r="D1" s="4"/>
      <c r="E1" s="4"/>
      <c r="F1" s="4"/>
      <c r="G1" s="4"/>
      <c r="H1" s="4"/>
      <c r="I1" s="4"/>
      <c r="J1" s="4"/>
      <c r="K1" s="4"/>
      <c r="L1" s="4"/>
      <c r="M1" s="4"/>
      <c r="N1" s="4"/>
      <c r="O1" s="4"/>
      <c r="P1" s="4"/>
      <c r="Q1" s="4"/>
      <c r="R1" s="4"/>
    </row>
    <row r="2" spans="2:18" x14ac:dyDescent="0.35">
      <c r="B2" s="4"/>
      <c r="C2" s="4"/>
      <c r="D2" s="4"/>
      <c r="E2" s="4"/>
      <c r="F2" s="4"/>
      <c r="G2" s="4"/>
      <c r="H2" s="4"/>
      <c r="I2" s="4"/>
      <c r="J2" s="4"/>
      <c r="K2" s="4"/>
      <c r="L2" s="4"/>
      <c r="M2" s="4"/>
      <c r="N2" s="4"/>
      <c r="O2" s="4"/>
      <c r="P2" s="4"/>
      <c r="Q2" s="4"/>
      <c r="R2" s="4"/>
    </row>
    <row r="3" spans="2:18" x14ac:dyDescent="0.35">
      <c r="B3" s="4"/>
      <c r="C3" s="4"/>
      <c r="D3" s="4"/>
      <c r="E3" s="4"/>
      <c r="F3" s="4"/>
      <c r="G3" s="4"/>
      <c r="H3" s="4"/>
      <c r="I3" s="4"/>
      <c r="J3" s="4"/>
      <c r="K3" s="4"/>
      <c r="L3" s="4"/>
      <c r="M3" s="4"/>
      <c r="N3" s="4"/>
      <c r="O3" s="4"/>
      <c r="P3" s="4"/>
      <c r="Q3" s="4"/>
      <c r="R3" s="4"/>
    </row>
    <row r="4" spans="2:18" x14ac:dyDescent="0.35">
      <c r="B4" s="4"/>
      <c r="C4" s="4"/>
      <c r="D4" s="4"/>
      <c r="E4" s="4"/>
      <c r="F4" s="4"/>
      <c r="G4" s="4"/>
      <c r="H4" s="4"/>
      <c r="I4" s="4"/>
      <c r="J4" s="4"/>
      <c r="K4" s="4"/>
      <c r="L4" s="4"/>
      <c r="M4" s="4"/>
      <c r="N4" s="4"/>
      <c r="O4" s="4"/>
      <c r="P4" s="4"/>
      <c r="Q4" s="4"/>
      <c r="R4" s="4"/>
    </row>
    <row r="5" spans="2:18" x14ac:dyDescent="0.35">
      <c r="B5" s="4"/>
      <c r="C5" s="4"/>
      <c r="D5" s="4"/>
      <c r="E5" s="4"/>
      <c r="F5" s="4"/>
      <c r="G5" s="4"/>
      <c r="H5" s="4"/>
      <c r="I5" s="4"/>
      <c r="J5" s="4"/>
      <c r="K5" s="4"/>
      <c r="L5" s="4"/>
      <c r="M5" s="4"/>
      <c r="N5" s="4"/>
      <c r="O5" s="4"/>
      <c r="P5" s="4"/>
      <c r="Q5" s="4"/>
      <c r="R5" s="4"/>
    </row>
    <row r="6" spans="2:18" x14ac:dyDescent="0.35">
      <c r="B6" s="4"/>
      <c r="C6" s="4"/>
      <c r="D6" s="4"/>
      <c r="E6" s="4"/>
      <c r="F6" s="4"/>
      <c r="G6" s="4"/>
      <c r="H6" s="4"/>
      <c r="I6" s="4"/>
      <c r="J6" s="4"/>
      <c r="K6" s="4"/>
      <c r="L6" s="4"/>
      <c r="M6" s="4"/>
      <c r="N6" s="4"/>
      <c r="O6" s="4"/>
      <c r="P6" s="4"/>
      <c r="Q6" s="4"/>
      <c r="R6" s="4"/>
    </row>
    <row r="7" spans="2:18" x14ac:dyDescent="0.35">
      <c r="B7" s="4"/>
      <c r="C7" s="4"/>
      <c r="D7" s="4"/>
      <c r="E7" s="4"/>
      <c r="F7" s="4"/>
      <c r="G7" s="4"/>
      <c r="H7" s="4"/>
      <c r="I7" s="4"/>
      <c r="J7" s="4"/>
      <c r="K7" s="4"/>
      <c r="L7" s="4"/>
      <c r="M7" s="4"/>
      <c r="N7" s="4"/>
      <c r="O7" s="4"/>
      <c r="P7" s="4"/>
      <c r="Q7" s="4"/>
      <c r="R7" s="4"/>
    </row>
    <row r="8" spans="2:18" x14ac:dyDescent="0.35">
      <c r="B8" s="4"/>
      <c r="C8" s="4"/>
      <c r="D8" s="4"/>
      <c r="E8" s="4"/>
      <c r="F8" s="4"/>
      <c r="G8" s="4"/>
      <c r="H8" s="4"/>
      <c r="I8" s="4"/>
      <c r="J8" s="4"/>
      <c r="K8" s="4"/>
      <c r="L8" s="4"/>
      <c r="M8" s="4"/>
      <c r="N8" s="4"/>
      <c r="O8" s="4"/>
      <c r="P8" s="4"/>
      <c r="Q8" s="4"/>
      <c r="R8" s="4"/>
    </row>
    <row r="9" spans="2:18" x14ac:dyDescent="0.35">
      <c r="B9" s="4"/>
      <c r="C9" s="4"/>
      <c r="D9" s="4"/>
      <c r="E9" s="4"/>
      <c r="F9" s="4"/>
      <c r="G9" s="4"/>
      <c r="H9" s="4"/>
      <c r="I9" s="4"/>
      <c r="J9" s="4"/>
      <c r="K9" s="4"/>
      <c r="L9" s="4"/>
      <c r="M9" s="4"/>
      <c r="N9" s="4"/>
      <c r="O9" s="4"/>
      <c r="P9" s="4"/>
      <c r="Q9" s="4"/>
      <c r="R9" s="4"/>
    </row>
    <row r="10" spans="2:18" x14ac:dyDescent="0.35">
      <c r="B10" s="4"/>
      <c r="C10" s="4"/>
      <c r="D10" s="4"/>
      <c r="E10" s="4"/>
      <c r="F10" s="4"/>
      <c r="G10" s="4"/>
      <c r="H10" s="4"/>
      <c r="I10" s="4"/>
      <c r="J10" s="4"/>
      <c r="K10" s="4"/>
      <c r="L10" s="4"/>
      <c r="M10" s="4"/>
      <c r="N10" s="4"/>
      <c r="O10" s="4"/>
      <c r="P10" s="4"/>
      <c r="Q10" s="4"/>
      <c r="R10" s="4"/>
    </row>
    <row r="11" spans="2:18" x14ac:dyDescent="0.35">
      <c r="B11" s="4"/>
      <c r="C11" s="4"/>
      <c r="D11" s="4"/>
      <c r="E11" s="4"/>
      <c r="F11" s="4"/>
      <c r="G11" s="4"/>
      <c r="H11" s="4"/>
      <c r="I11" s="4"/>
      <c r="J11" s="4"/>
      <c r="K11" s="4"/>
      <c r="L11" s="4"/>
      <c r="M11" s="4"/>
      <c r="N11" s="4"/>
      <c r="O11" s="4"/>
      <c r="P11" s="4"/>
      <c r="Q11" s="4"/>
      <c r="R11" s="4"/>
    </row>
    <row r="12" spans="2:18" x14ac:dyDescent="0.35">
      <c r="B12" s="4"/>
      <c r="C12" s="4"/>
      <c r="D12" s="4"/>
      <c r="E12" s="4"/>
      <c r="F12" s="4"/>
      <c r="G12" s="4"/>
      <c r="H12" s="4"/>
      <c r="I12" s="4"/>
      <c r="J12" s="4"/>
      <c r="K12" s="4"/>
      <c r="L12" s="4"/>
      <c r="M12" s="4"/>
      <c r="N12" s="4"/>
      <c r="O12" s="4"/>
      <c r="P12" s="4"/>
      <c r="Q12" s="4"/>
      <c r="R12" s="4"/>
    </row>
    <row r="13" spans="2:18" x14ac:dyDescent="0.35">
      <c r="B13" s="4"/>
      <c r="C13" s="4"/>
      <c r="D13" s="4"/>
      <c r="E13" s="4"/>
      <c r="F13" s="4"/>
      <c r="G13" s="4"/>
      <c r="H13" s="4"/>
      <c r="I13" s="4"/>
      <c r="J13" s="4"/>
      <c r="K13" s="4"/>
      <c r="L13" s="4"/>
      <c r="M13" s="4"/>
      <c r="N13" s="4"/>
      <c r="O13" s="4"/>
      <c r="P13" s="4"/>
      <c r="Q13" s="4"/>
      <c r="R13" s="4"/>
    </row>
    <row r="14" spans="2:18" x14ac:dyDescent="0.35">
      <c r="B14" s="4"/>
      <c r="C14" s="4"/>
      <c r="D14" s="4"/>
      <c r="E14" s="4"/>
      <c r="F14" s="4"/>
      <c r="G14" s="4"/>
      <c r="H14" s="4"/>
      <c r="I14" s="4"/>
      <c r="J14" s="4"/>
      <c r="K14" s="4"/>
      <c r="L14" s="4"/>
      <c r="M14" s="4"/>
      <c r="N14" s="4"/>
      <c r="O14" s="4"/>
      <c r="P14" s="4"/>
      <c r="Q14" s="4"/>
      <c r="R14" s="4"/>
    </row>
    <row r="15" spans="2:18" x14ac:dyDescent="0.35">
      <c r="B15" s="4"/>
      <c r="C15" s="4"/>
      <c r="D15" s="4"/>
      <c r="E15" s="4"/>
      <c r="F15" s="4"/>
      <c r="G15" s="4"/>
      <c r="H15" s="4"/>
      <c r="I15" s="4"/>
      <c r="J15" s="4"/>
      <c r="K15" s="4"/>
      <c r="L15" s="4"/>
      <c r="M15" s="4"/>
      <c r="N15" s="4"/>
      <c r="O15" s="4"/>
      <c r="P15" s="4"/>
      <c r="Q15" s="4"/>
      <c r="R15" s="4"/>
    </row>
    <row r="16" spans="2:18" x14ac:dyDescent="0.35">
      <c r="B16" s="4"/>
      <c r="C16" s="4"/>
      <c r="D16" s="4"/>
      <c r="E16" s="4"/>
      <c r="F16" s="4"/>
      <c r="G16" s="4"/>
      <c r="H16" s="4"/>
      <c r="I16" s="4"/>
      <c r="J16" s="4"/>
      <c r="K16" s="4"/>
      <c r="L16" s="4"/>
      <c r="M16" s="4"/>
      <c r="N16" s="4"/>
      <c r="O16" s="4"/>
      <c r="P16" s="4"/>
      <c r="Q16" s="4"/>
      <c r="R16" s="4"/>
    </row>
    <row r="17" spans="2:18" x14ac:dyDescent="0.35">
      <c r="B17" s="4"/>
      <c r="C17" s="4"/>
      <c r="D17" s="4"/>
      <c r="E17" s="4"/>
      <c r="F17" s="4"/>
      <c r="G17" s="4"/>
      <c r="H17" s="4"/>
      <c r="I17" s="4"/>
      <c r="J17" s="4"/>
      <c r="K17" s="4"/>
      <c r="L17" s="4"/>
      <c r="M17" s="4"/>
      <c r="N17" s="4"/>
      <c r="O17" s="4"/>
      <c r="P17" s="4"/>
      <c r="Q17" s="4"/>
      <c r="R17" s="4"/>
    </row>
    <row r="18" spans="2:18" x14ac:dyDescent="0.35">
      <c r="B18" s="4"/>
      <c r="C18" s="4"/>
      <c r="D18" s="4"/>
      <c r="E18" s="4"/>
      <c r="F18" s="4"/>
      <c r="G18" s="4"/>
      <c r="H18" s="4"/>
      <c r="I18" s="4"/>
      <c r="J18" s="4"/>
      <c r="K18" s="4"/>
      <c r="L18" s="4"/>
      <c r="M18" s="4"/>
      <c r="N18" s="4"/>
      <c r="O18" s="4"/>
      <c r="P18" s="4"/>
      <c r="Q18" s="4"/>
      <c r="R18" s="4"/>
    </row>
    <row r="19" spans="2:18" x14ac:dyDescent="0.35">
      <c r="B19" s="4"/>
      <c r="C19" s="4"/>
      <c r="D19" s="4"/>
      <c r="E19" s="4"/>
      <c r="F19" s="4"/>
      <c r="G19" s="4"/>
      <c r="H19" s="4"/>
      <c r="I19" s="4"/>
      <c r="J19" s="4"/>
      <c r="K19" s="4"/>
      <c r="L19" s="4"/>
      <c r="M19" s="4"/>
      <c r="N19" s="4"/>
      <c r="O19" s="4"/>
      <c r="P19" s="4"/>
      <c r="Q19" s="4"/>
      <c r="R19" s="4"/>
    </row>
    <row r="20" spans="2:18" x14ac:dyDescent="0.35">
      <c r="B20" s="4"/>
      <c r="C20" s="4"/>
      <c r="D20" s="4"/>
      <c r="E20" s="4"/>
      <c r="F20" s="4"/>
      <c r="G20" s="4"/>
      <c r="H20" s="4"/>
      <c r="I20" s="4"/>
      <c r="J20" s="4"/>
      <c r="K20" s="4"/>
      <c r="L20" s="4"/>
      <c r="M20" s="4"/>
      <c r="N20" s="4"/>
      <c r="O20" s="4"/>
      <c r="P20" s="4"/>
      <c r="Q20" s="4"/>
      <c r="R20" s="4"/>
    </row>
    <row r="21" spans="2:18" x14ac:dyDescent="0.35">
      <c r="B21" s="4"/>
      <c r="C21" s="4"/>
      <c r="D21" s="4"/>
      <c r="E21" s="4"/>
      <c r="F21" s="4"/>
      <c r="G21" s="4"/>
      <c r="H21" s="4"/>
      <c r="I21" s="4"/>
      <c r="J21" s="4"/>
      <c r="K21" s="4"/>
      <c r="L21" s="4"/>
      <c r="M21" s="4"/>
      <c r="N21" s="4"/>
      <c r="O21" s="4"/>
      <c r="P21" s="4"/>
      <c r="Q21" s="4"/>
      <c r="R21" s="4"/>
    </row>
    <row r="22" spans="2:18" x14ac:dyDescent="0.35">
      <c r="B22" s="4"/>
      <c r="C22" s="4"/>
      <c r="D22" s="4"/>
      <c r="E22" s="4"/>
      <c r="F22" s="4"/>
      <c r="G22" s="4"/>
      <c r="H22" s="4"/>
      <c r="I22" s="4"/>
      <c r="J22" s="4"/>
      <c r="K22" s="4"/>
      <c r="L22" s="4"/>
      <c r="M22" s="4"/>
      <c r="N22" s="4"/>
      <c r="O22" s="4"/>
      <c r="P22" s="4"/>
      <c r="Q22" s="4"/>
      <c r="R22" s="4"/>
    </row>
    <row r="23" spans="2:18" x14ac:dyDescent="0.35">
      <c r="B23" s="4"/>
      <c r="C23" s="4"/>
      <c r="D23" s="4"/>
      <c r="E23" s="4"/>
      <c r="F23" s="4"/>
      <c r="G23" s="4"/>
      <c r="H23" s="4"/>
      <c r="I23" s="4"/>
      <c r="J23" s="4"/>
      <c r="K23" s="4"/>
      <c r="L23" s="4"/>
      <c r="M23" s="4"/>
      <c r="N23" s="4"/>
      <c r="O23" s="4"/>
      <c r="P23" s="4"/>
      <c r="Q23" s="4"/>
      <c r="R23" s="4"/>
    </row>
    <row r="24" spans="2:18" x14ac:dyDescent="0.35">
      <c r="B24" s="4"/>
      <c r="C24" s="4"/>
      <c r="D24" s="4"/>
      <c r="E24" s="4"/>
      <c r="F24" s="4"/>
      <c r="G24" s="4"/>
      <c r="H24" s="4"/>
      <c r="I24" s="4"/>
      <c r="J24" s="4"/>
      <c r="K24" s="4"/>
      <c r="L24" s="4"/>
      <c r="M24" s="4"/>
      <c r="N24" s="4"/>
      <c r="O24" s="4"/>
      <c r="P24" s="4"/>
      <c r="Q24" s="4"/>
      <c r="R24" s="4"/>
    </row>
    <row r="25" spans="2:18" x14ac:dyDescent="0.35">
      <c r="B25" s="4"/>
      <c r="C25" s="4"/>
      <c r="D25" s="4"/>
      <c r="E25" s="4"/>
      <c r="F25" s="4"/>
      <c r="G25" s="4"/>
      <c r="H25" s="4"/>
      <c r="I25" s="4"/>
      <c r="J25" s="4"/>
      <c r="K25" s="4"/>
      <c r="L25" s="4"/>
      <c r="M25" s="4"/>
      <c r="N25" s="4"/>
      <c r="O25" s="4"/>
      <c r="P25" s="4"/>
      <c r="Q25" s="4"/>
      <c r="R25" s="4"/>
    </row>
    <row r="26" spans="2:18" x14ac:dyDescent="0.35">
      <c r="B26" s="4"/>
      <c r="C26" s="4"/>
      <c r="D26" s="4"/>
      <c r="E26" s="4"/>
      <c r="F26" s="4"/>
      <c r="G26" s="4"/>
      <c r="H26" s="4"/>
      <c r="I26" s="4"/>
      <c r="J26" s="4"/>
      <c r="K26" s="4"/>
      <c r="L26" s="4"/>
      <c r="M26" s="4"/>
      <c r="N26" s="4"/>
      <c r="O26" s="4"/>
      <c r="P26" s="4"/>
      <c r="Q26" s="4"/>
      <c r="R26"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9391-3A19-4431-BE63-CB9C03E3572B}">
  <dimension ref="A1:L15"/>
  <sheetViews>
    <sheetView workbookViewId="0"/>
  </sheetViews>
  <sheetFormatPr defaultRowHeight="14.5" x14ac:dyDescent="0.35"/>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c r="B3" s="4"/>
      <c r="C3" s="4"/>
      <c r="D3" s="4"/>
      <c r="E3" s="4"/>
      <c r="F3" s="4"/>
      <c r="G3" s="4"/>
      <c r="H3" s="4"/>
      <c r="I3" s="4"/>
      <c r="J3" s="4"/>
      <c r="K3" s="4"/>
      <c r="L3" s="4"/>
    </row>
    <row r="4" spans="1:12" x14ac:dyDescent="0.35">
      <c r="A4" s="4"/>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997E-2993-4D87-846E-35474DC011BD}">
  <dimension ref="A1:L19"/>
  <sheetViews>
    <sheetView workbookViewId="0">
      <selection activeCell="N18" sqref="N18"/>
    </sheetView>
  </sheetViews>
  <sheetFormatPr defaultRowHeight="14.5" x14ac:dyDescent="0.35"/>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c r="B3" s="4"/>
      <c r="C3" s="4"/>
      <c r="D3" s="4"/>
      <c r="E3" s="4"/>
      <c r="F3" s="4"/>
      <c r="G3" s="4"/>
      <c r="H3" s="4"/>
      <c r="I3" s="4"/>
      <c r="J3" s="4"/>
      <c r="K3" s="4"/>
      <c r="L3" s="4"/>
    </row>
    <row r="4" spans="1:12" x14ac:dyDescent="0.35">
      <c r="A4" s="4"/>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row r="16" spans="1:12" x14ac:dyDescent="0.35">
      <c r="A16" s="4"/>
      <c r="B16" s="4"/>
      <c r="C16" s="4"/>
      <c r="D16" s="4"/>
      <c r="E16" s="4"/>
      <c r="F16" s="4"/>
      <c r="G16" s="4"/>
      <c r="H16" s="4"/>
      <c r="I16" s="4"/>
      <c r="J16" s="4"/>
      <c r="K16" s="4"/>
      <c r="L16" s="4"/>
    </row>
    <row r="17" spans="1:12" x14ac:dyDescent="0.35">
      <c r="A17" s="4"/>
      <c r="B17" s="4"/>
      <c r="C17" s="4"/>
      <c r="D17" s="4"/>
      <c r="E17" s="4"/>
      <c r="F17" s="4"/>
      <c r="G17" s="4"/>
      <c r="H17" s="4"/>
      <c r="I17" s="4"/>
      <c r="J17" s="4"/>
      <c r="K17" s="4"/>
      <c r="L17" s="4"/>
    </row>
    <row r="18" spans="1:12" x14ac:dyDescent="0.35">
      <c r="A18" s="4"/>
      <c r="B18" s="4"/>
      <c r="C18" s="4"/>
      <c r="D18" s="4"/>
      <c r="E18" s="4"/>
      <c r="F18" s="4"/>
      <c r="G18" s="4"/>
      <c r="H18" s="4"/>
      <c r="I18" s="4"/>
      <c r="J18" s="4"/>
      <c r="K18" s="4"/>
      <c r="L18" s="4"/>
    </row>
    <row r="19" spans="1:12" x14ac:dyDescent="0.35">
      <c r="A19" s="4"/>
      <c r="B19" s="4"/>
      <c r="C19" s="4"/>
      <c r="D19" s="4"/>
      <c r="E19" s="4"/>
      <c r="F19" s="4"/>
      <c r="G19" s="4"/>
      <c r="H19" s="4"/>
      <c r="I19" s="4"/>
      <c r="J19" s="4"/>
      <c r="K19" s="4"/>
      <c r="L19"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2668-6AF9-45B9-B135-9DE10CEC926F}">
  <dimension ref="A1:L19"/>
  <sheetViews>
    <sheetView workbookViewId="0">
      <selection activeCell="A11" sqref="A11"/>
    </sheetView>
  </sheetViews>
  <sheetFormatPr defaultRowHeight="14.5" x14ac:dyDescent="0.35"/>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c r="B3" s="4"/>
      <c r="C3" s="4"/>
      <c r="D3" s="4"/>
      <c r="E3" s="4"/>
      <c r="F3" s="4"/>
      <c r="G3" s="4"/>
      <c r="H3" s="4"/>
      <c r="I3" s="4"/>
      <c r="J3" s="4"/>
      <c r="K3" s="4"/>
      <c r="L3" s="4"/>
    </row>
    <row r="4" spans="1:12" x14ac:dyDescent="0.35">
      <c r="A4" s="4"/>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row r="16" spans="1:12" x14ac:dyDescent="0.35">
      <c r="A16" s="4"/>
      <c r="B16" s="4"/>
      <c r="C16" s="4"/>
      <c r="D16" s="4"/>
      <c r="E16" s="4"/>
      <c r="F16" s="4"/>
      <c r="G16" s="4"/>
      <c r="H16" s="4"/>
      <c r="I16" s="4"/>
      <c r="J16" s="4"/>
      <c r="K16" s="4"/>
      <c r="L16" s="4"/>
    </row>
    <row r="17" spans="1:12" x14ac:dyDescent="0.35">
      <c r="A17" s="4"/>
      <c r="B17" s="4"/>
      <c r="C17" s="4"/>
      <c r="D17" s="4"/>
      <c r="E17" s="4"/>
      <c r="F17" s="4"/>
      <c r="G17" s="4"/>
      <c r="H17" s="4"/>
      <c r="I17" s="4"/>
      <c r="J17" s="4"/>
      <c r="K17" s="4"/>
      <c r="L17" s="4"/>
    </row>
    <row r="18" spans="1:12" x14ac:dyDescent="0.35">
      <c r="A18" s="4"/>
      <c r="B18" s="4"/>
      <c r="C18" s="4"/>
      <c r="D18" s="4"/>
      <c r="E18" s="4"/>
      <c r="F18" s="4"/>
      <c r="G18" s="4"/>
      <c r="H18" s="4"/>
      <c r="I18" s="4"/>
      <c r="J18" s="4"/>
      <c r="K18" s="4"/>
      <c r="L18" s="4"/>
    </row>
    <row r="19" spans="1:12" x14ac:dyDescent="0.35">
      <c r="A19" s="4"/>
      <c r="B19" s="4"/>
      <c r="C19" s="4"/>
      <c r="D19" s="4"/>
      <c r="E19" s="4"/>
      <c r="F19" s="4"/>
      <c r="G19" s="4"/>
      <c r="H19" s="4"/>
      <c r="I19" s="4"/>
      <c r="J19" s="4"/>
      <c r="K19" s="4"/>
      <c r="L19"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1452AA1-24A5-4E06-BCA0-20D29C53B6B5}">
  <ds:schemaRefs/>
</ds:datastoreItem>
</file>

<file path=customXml/itemProps2.xml><?xml version="1.0" encoding="utf-8"?>
<ds:datastoreItem xmlns:ds="http://schemas.openxmlformats.org/officeDocument/2006/customXml" ds:itemID="{138D2908-3CBF-4C79-81BB-E38485CB868C}">
  <ds:schemaRefs/>
</ds:datastoreItem>
</file>

<file path=customXml/itemProps3.xml><?xml version="1.0" encoding="utf-8"?>
<ds:datastoreItem xmlns:ds="http://schemas.openxmlformats.org/officeDocument/2006/customXml" ds:itemID="{5FEEE357-8D71-4B3C-AB0D-C376AAF141F3}">
  <ds:schemaRefs/>
</ds:datastoreItem>
</file>

<file path=customXml/itemProps4.xml><?xml version="1.0" encoding="utf-8"?>
<ds:datastoreItem xmlns:ds="http://schemas.openxmlformats.org/officeDocument/2006/customXml" ds:itemID="{A5BE6B56-B065-483C-A5F2-487EB3316136}">
  <ds:schemaRefs>
    <ds:schemaRef ds:uri="http://schemas.microsoft.com/DataMashup"/>
  </ds:schemaRefs>
</ds:datastoreItem>
</file>

<file path=customXml/itemProps5.xml><?xml version="1.0" encoding="utf-8"?>
<ds:datastoreItem xmlns:ds="http://schemas.openxmlformats.org/officeDocument/2006/customXml" ds:itemID="{A765E6FB-39F8-4D6F-A319-80D8B99DE0AE}">
  <ds:schemaRefs/>
</ds:datastoreItem>
</file>

<file path=customXml/itemProps6.xml><?xml version="1.0" encoding="utf-8"?>
<ds:datastoreItem xmlns:ds="http://schemas.openxmlformats.org/officeDocument/2006/customXml" ds:itemID="{A3EEE35A-5849-44E9-9ED7-10D2DDF4714E}">
  <ds:schemaRefs/>
</ds:datastoreItem>
</file>

<file path=customXml/itemProps7.xml><?xml version="1.0" encoding="utf-8"?>
<ds:datastoreItem xmlns:ds="http://schemas.openxmlformats.org/officeDocument/2006/customXml" ds:itemID="{5998A966-BA53-407A-9B7A-2FEBD886E4B5}">
  <ds:schemaRefs/>
</ds:datastoreItem>
</file>

<file path=customXml/itemProps8.xml><?xml version="1.0" encoding="utf-8"?>
<ds:datastoreItem xmlns:ds="http://schemas.openxmlformats.org/officeDocument/2006/customXml" ds:itemID="{0C045CB2-A035-404A-9584-C67213596D76}">
  <ds:schemaRefs/>
</ds:datastoreItem>
</file>

<file path=customXml/itemProps9.xml><?xml version="1.0" encoding="utf-8"?>
<ds:datastoreItem xmlns:ds="http://schemas.openxmlformats.org/officeDocument/2006/customXml" ds:itemID="{17D74CA9-611F-421E-AA7A-28D06BBC962D}">
  <ds:schemaRefs/>
</ds:datastoreItem>
</file>

<file path=customXml/itemProps10.xml><?xml version="1.0" encoding="utf-8"?>
<ds:datastoreItem xmlns:ds="http://schemas.openxmlformats.org/officeDocument/2006/customXml" ds:itemID="{46A03AA3-3FD3-459B-B6F3-F784A6908EF2}">
  <ds:schemaRefs/>
</ds:datastoreItem>
</file>

<file path=customXml/itemProps11.xml><?xml version="1.0" encoding="utf-8"?>
<ds:datastoreItem xmlns:ds="http://schemas.openxmlformats.org/officeDocument/2006/customXml" ds:itemID="{068B74D2-3581-4FDD-B76A-4A9D337DCFC3}">
  <ds:schemaRefs/>
</ds:datastoreItem>
</file>

<file path=customXml/itemProps12.xml><?xml version="1.0" encoding="utf-8"?>
<ds:datastoreItem xmlns:ds="http://schemas.openxmlformats.org/officeDocument/2006/customXml" ds:itemID="{8E27B166-606A-4046-A603-4B596C2877A8}">
  <ds:schemaRefs/>
</ds:datastoreItem>
</file>

<file path=customXml/itemProps13.xml><?xml version="1.0" encoding="utf-8"?>
<ds:datastoreItem xmlns:ds="http://schemas.openxmlformats.org/officeDocument/2006/customXml" ds:itemID="{C8120848-85E2-4F96-88E0-9181B0E4F685}">
  <ds:schemaRefs/>
</ds:datastoreItem>
</file>

<file path=customXml/itemProps14.xml><?xml version="1.0" encoding="utf-8"?>
<ds:datastoreItem xmlns:ds="http://schemas.openxmlformats.org/officeDocument/2006/customXml" ds:itemID="{47D8D5EA-38E7-447E-B97E-85715C44F3AA}">
  <ds:schemaRefs/>
</ds:datastoreItem>
</file>

<file path=customXml/itemProps15.xml><?xml version="1.0" encoding="utf-8"?>
<ds:datastoreItem xmlns:ds="http://schemas.openxmlformats.org/officeDocument/2006/customXml" ds:itemID="{E82B0574-2039-419C-9447-415A8D59AFAB}">
  <ds:schemaRefs/>
</ds:datastoreItem>
</file>

<file path=customXml/itemProps16.xml><?xml version="1.0" encoding="utf-8"?>
<ds:datastoreItem xmlns:ds="http://schemas.openxmlformats.org/officeDocument/2006/customXml" ds:itemID="{53A5FD40-F351-4630-A8C4-23755A1A4A9A}">
  <ds:schemaRefs/>
</ds:datastoreItem>
</file>

<file path=customXml/itemProps17.xml><?xml version="1.0" encoding="utf-8"?>
<ds:datastoreItem xmlns:ds="http://schemas.openxmlformats.org/officeDocument/2006/customXml" ds:itemID="{DADB33D8-A8C3-4376-A4B6-367CD06E1434}">
  <ds:schemaRefs/>
</ds:datastoreItem>
</file>

<file path=customXml/itemProps18.xml><?xml version="1.0" encoding="utf-8"?>
<ds:datastoreItem xmlns:ds="http://schemas.openxmlformats.org/officeDocument/2006/customXml" ds:itemID="{0FAAE23A-A1F7-4D4B-92EA-EE9A70F3D9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Dashborad</vt:lpstr>
      <vt:lpstr>no of patient daily visit</vt:lpstr>
      <vt:lpstr>avg waittime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Ghoter</dc:creator>
  <cp:lastModifiedBy>Abhishek Ghoter</cp:lastModifiedBy>
  <dcterms:created xsi:type="dcterms:W3CDTF">2026-08-29T05:00:37Z</dcterms:created>
  <dcterms:modified xsi:type="dcterms:W3CDTF">2026-09-04T07:21:22Z</dcterms:modified>
</cp:coreProperties>
</file>